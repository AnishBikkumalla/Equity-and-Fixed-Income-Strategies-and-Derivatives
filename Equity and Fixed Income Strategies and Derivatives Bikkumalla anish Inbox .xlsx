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AE7DFA9D-E45E-8F40-9301-C988E94FF6B5}" xr6:coauthVersionLast="47" xr6:coauthVersionMax="47" xr10:uidLastSave="{00000000-0000-0000-0000-000000000000}"/>
  <bookViews>
    <workbookView xWindow="0" yWindow="0" windowWidth="35840" windowHeight="22400" tabRatio="500" xr2:uid="{00000000-000D-0000-FFFF-FFFF00000000}"/>
  </bookViews>
  <sheets>
    <sheet name="A1_DDM_Walmart" sheetId="2" r:id="rId1"/>
    <sheet name="A2_DDM_Costco" sheetId="3" r:id="rId2"/>
    <sheet name="A3_DDM_Target" sheetId="4" r:id="rId3"/>
    <sheet name="A4_Relative_Valuation" sheetId="5" r:id="rId4"/>
    <sheet name="B_Bond_Analysis" sheetId="6" r:id="rId5"/>
    <sheet name="D_BSM_Straddle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4" i="7" l="1"/>
  <c r="C54" i="7"/>
  <c r="E54" i="7" s="1"/>
  <c r="D53" i="7"/>
  <c r="C53" i="7"/>
  <c r="E53" i="7" s="1"/>
  <c r="D52" i="7"/>
  <c r="C52" i="7"/>
  <c r="E52" i="7" s="1"/>
  <c r="D51" i="7"/>
  <c r="C51" i="7"/>
  <c r="E51" i="7" s="1"/>
  <c r="D50" i="7"/>
  <c r="C50" i="7"/>
  <c r="E50" i="7" s="1"/>
  <c r="D49" i="7"/>
  <c r="C49" i="7"/>
  <c r="E49" i="7" s="1"/>
  <c r="D48" i="7"/>
  <c r="C48" i="7"/>
  <c r="E48" i="7" s="1"/>
  <c r="D47" i="7"/>
  <c r="C47" i="7"/>
  <c r="E47" i="7" s="1"/>
  <c r="D46" i="7"/>
  <c r="C46" i="7"/>
  <c r="E46" i="7" s="1"/>
  <c r="D45" i="7"/>
  <c r="C45" i="7"/>
  <c r="E45" i="7" s="1"/>
  <c r="D44" i="7"/>
  <c r="C44" i="7"/>
  <c r="E44" i="7" s="1"/>
  <c r="D43" i="7"/>
  <c r="C43" i="7"/>
  <c r="E43" i="7" s="1"/>
  <c r="D42" i="7"/>
  <c r="C42" i="7"/>
  <c r="E42" i="7" s="1"/>
  <c r="D41" i="7"/>
  <c r="C41" i="7"/>
  <c r="E41" i="7" s="1"/>
  <c r="D40" i="7"/>
  <c r="C40" i="7"/>
  <c r="E40" i="7" s="1"/>
  <c r="D32" i="7"/>
  <c r="D33" i="7" s="1"/>
  <c r="D31" i="7"/>
  <c r="D14" i="7"/>
  <c r="D18" i="7" s="1"/>
  <c r="D9" i="7"/>
  <c r="C61" i="6"/>
  <c r="C60" i="6"/>
  <c r="C59" i="6"/>
  <c r="E37" i="6"/>
  <c r="G37" i="6" s="1"/>
  <c r="D37" i="6"/>
  <c r="C37" i="6"/>
  <c r="D36" i="6"/>
  <c r="C36" i="6"/>
  <c r="E36" i="6" s="1"/>
  <c r="D35" i="6"/>
  <c r="C35" i="6"/>
  <c r="E35" i="6" s="1"/>
  <c r="E34" i="6"/>
  <c r="G34" i="6" s="1"/>
  <c r="D34" i="6"/>
  <c r="C34" i="6"/>
  <c r="D33" i="6"/>
  <c r="E33" i="6" s="1"/>
  <c r="C33" i="6"/>
  <c r="D32" i="6"/>
  <c r="C32" i="6"/>
  <c r="E32" i="6" s="1"/>
  <c r="D31" i="6"/>
  <c r="E31" i="6" s="1"/>
  <c r="C31" i="6"/>
  <c r="D30" i="6"/>
  <c r="E30" i="6" s="1"/>
  <c r="C30" i="6"/>
  <c r="D29" i="6"/>
  <c r="C29" i="6"/>
  <c r="E29" i="6" s="1"/>
  <c r="D28" i="6"/>
  <c r="C28" i="6"/>
  <c r="E28" i="6" s="1"/>
  <c r="D16" i="6"/>
  <c r="E16" i="6" s="1"/>
  <c r="C16" i="6"/>
  <c r="D15" i="6"/>
  <c r="C15" i="6"/>
  <c r="E15" i="6" s="1"/>
  <c r="D14" i="6"/>
  <c r="E14" i="6" s="1"/>
  <c r="C14" i="6"/>
  <c r="D13" i="6"/>
  <c r="E13" i="6" s="1"/>
  <c r="C13" i="6"/>
  <c r="D12" i="6"/>
  <c r="C12" i="6"/>
  <c r="D53" i="6" s="1"/>
  <c r="D54" i="6" s="1"/>
  <c r="I7" i="6"/>
  <c r="G7" i="6"/>
  <c r="E7" i="6"/>
  <c r="E6" i="6"/>
  <c r="I6" i="6" s="1"/>
  <c r="D17" i="5"/>
  <c r="F16" i="5"/>
  <c r="E16" i="5"/>
  <c r="G16" i="5" s="1"/>
  <c r="D16" i="5"/>
  <c r="E15" i="5"/>
  <c r="G15" i="5" s="1"/>
  <c r="D15" i="5"/>
  <c r="F11" i="5"/>
  <c r="F15" i="5" s="1"/>
  <c r="E11" i="5"/>
  <c r="E17" i="5" s="1"/>
  <c r="G17" i="5" s="1"/>
  <c r="D20" i="4"/>
  <c r="D19" i="4"/>
  <c r="D18" i="4"/>
  <c r="D17" i="4"/>
  <c r="D16" i="4"/>
  <c r="E16" i="4" s="1"/>
  <c r="D8" i="4"/>
  <c r="F18" i="4" s="1"/>
  <c r="F20" i="3"/>
  <c r="D20" i="3"/>
  <c r="F19" i="3"/>
  <c r="D19" i="3"/>
  <c r="F18" i="3"/>
  <c r="D18" i="3"/>
  <c r="F17" i="3"/>
  <c r="D17" i="3"/>
  <c r="F16" i="3"/>
  <c r="D16" i="3"/>
  <c r="E16" i="3" s="1"/>
  <c r="D8" i="3"/>
  <c r="F20" i="2"/>
  <c r="D20" i="2"/>
  <c r="D19" i="2"/>
  <c r="F18" i="2"/>
  <c r="D18" i="2"/>
  <c r="F17" i="2"/>
  <c r="D17" i="2"/>
  <c r="D16" i="2"/>
  <c r="E16" i="2" s="1"/>
  <c r="D8" i="2"/>
  <c r="F19" i="2" s="1"/>
  <c r="G35" i="6" l="1"/>
  <c r="F35" i="6"/>
  <c r="F16" i="6"/>
  <c r="G16" i="6"/>
  <c r="F28" i="6"/>
  <c r="E38" i="6"/>
  <c r="G28" i="6"/>
  <c r="F33" i="6"/>
  <c r="G33" i="6"/>
  <c r="E17" i="2"/>
  <c r="G13" i="6"/>
  <c r="F13" i="6"/>
  <c r="G30" i="6"/>
  <c r="F30" i="6"/>
  <c r="G36" i="6"/>
  <c r="F36" i="6"/>
  <c r="D61" i="6"/>
  <c r="E61" i="6" s="1"/>
  <c r="D60" i="6"/>
  <c r="E60" i="6" s="1"/>
  <c r="D55" i="6"/>
  <c r="D59" i="6"/>
  <c r="E59" i="6" s="1"/>
  <c r="G14" i="6"/>
  <c r="F14" i="6"/>
  <c r="G31" i="6"/>
  <c r="F31" i="6"/>
  <c r="G29" i="6"/>
  <c r="F29" i="6"/>
  <c r="G15" i="6"/>
  <c r="F15" i="6"/>
  <c r="G32" i="6"/>
  <c r="F32" i="6"/>
  <c r="E17" i="4"/>
  <c r="G16" i="4"/>
  <c r="E17" i="3"/>
  <c r="G16" i="3"/>
  <c r="F16" i="4"/>
  <c r="F19" i="4"/>
  <c r="E12" i="6"/>
  <c r="F34" i="6"/>
  <c r="F17" i="5"/>
  <c r="F20" i="4"/>
  <c r="F37" i="6"/>
  <c r="D15" i="7"/>
  <c r="F16" i="2"/>
  <c r="G16" i="2" s="1"/>
  <c r="D16" i="7"/>
  <c r="F17" i="4"/>
  <c r="D17" i="7" l="1"/>
  <c r="D19" i="7"/>
  <c r="D22" i="7" s="1"/>
  <c r="E18" i="4"/>
  <c r="G17" i="4"/>
  <c r="G40" i="6"/>
  <c r="D44" i="6" s="1"/>
  <c r="E49" i="6" s="1"/>
  <c r="G12" i="6"/>
  <c r="G19" i="6" s="1"/>
  <c r="F12" i="6"/>
  <c r="F18" i="6" s="1"/>
  <c r="D21" i="6" s="1"/>
  <c r="E17" i="6"/>
  <c r="F39" i="6"/>
  <c r="D42" i="6" s="1"/>
  <c r="E18" i="3"/>
  <c r="G17" i="3"/>
  <c r="D21" i="7"/>
  <c r="E18" i="2"/>
  <c r="G17" i="2"/>
  <c r="D22" i="6" l="1"/>
  <c r="C48" i="6"/>
  <c r="G18" i="4"/>
  <c r="E19" i="4"/>
  <c r="D23" i="6"/>
  <c r="E48" i="6" s="1"/>
  <c r="E19" i="2"/>
  <c r="G18" i="2"/>
  <c r="D23" i="7"/>
  <c r="C49" i="6"/>
  <c r="D43" i="6"/>
  <c r="E19" i="3"/>
  <c r="G18" i="3"/>
  <c r="D34" i="7" l="1"/>
  <c r="D35" i="7" s="1"/>
  <c r="D36" i="7" s="1"/>
  <c r="D27" i="7"/>
  <c r="D26" i="7"/>
  <c r="F44" i="7"/>
  <c r="F49" i="7"/>
  <c r="F48" i="7"/>
  <c r="F54" i="7"/>
  <c r="F40" i="7"/>
  <c r="F42" i="7"/>
  <c r="F45" i="7"/>
  <c r="F46" i="7"/>
  <c r="F47" i="7"/>
  <c r="F53" i="7"/>
  <c r="F51" i="7"/>
  <c r="F41" i="7"/>
  <c r="F52" i="7"/>
  <c r="F50" i="7"/>
  <c r="F43" i="7"/>
  <c r="D49" i="6"/>
  <c r="D68" i="6"/>
  <c r="E68" i="6" s="1"/>
  <c r="D67" i="6"/>
  <c r="E67" i="6" s="1"/>
  <c r="E20" i="4"/>
  <c r="G19" i="4"/>
  <c r="G19" i="2"/>
  <c r="E20" i="2"/>
  <c r="E20" i="3"/>
  <c r="G19" i="3"/>
  <c r="D65" i="6"/>
  <c r="E65" i="6" s="1"/>
  <c r="D66" i="6"/>
  <c r="E66" i="6" s="1"/>
  <c r="D48" i="6"/>
  <c r="D24" i="2" l="1"/>
  <c r="D25" i="2" s="1"/>
  <c r="G20" i="2"/>
  <c r="G21" i="2" s="1"/>
  <c r="D28" i="2" s="1"/>
  <c r="D24" i="4"/>
  <c r="D25" i="4" s="1"/>
  <c r="G20" i="4"/>
  <c r="G21" i="4" s="1"/>
  <c r="D28" i="4" s="1"/>
  <c r="D24" i="3"/>
  <c r="D25" i="3" s="1"/>
  <c r="G20" i="3"/>
  <c r="G21" i="3" s="1"/>
  <c r="C16" i="5" l="1"/>
  <c r="D30" i="4"/>
  <c r="D31" i="4" s="1"/>
  <c r="D30" i="2"/>
  <c r="D31" i="2" s="1"/>
  <c r="C15" i="5"/>
  <c r="D28" i="3"/>
  <c r="D30" i="3" l="1"/>
  <c r="D31" i="3" s="1"/>
  <c r="C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100-000001000000}">
      <text>
        <r>
          <rPr>
            <sz val="10"/>
            <rFont val="Arial"/>
            <family val="2"/>
          </rPr>
          <t>Source: U.S. Dept. of the Treasury, daily par yield curve, 2026</t>
        </r>
      </text>
    </comment>
    <comment ref="D6" authorId="0" shapeId="0" xr:uid="{00000000-0006-0000-0100-000002000000}">
      <text>
        <r>
          <rPr>
            <sz val="10"/>
            <rFont val="Arial"/>
            <family val="2"/>
          </rPr>
          <t>Source: author estimate — relative earnings/price volatility vs sector</t>
        </r>
      </text>
    </comment>
    <comment ref="D7" authorId="0" shapeId="0" xr:uid="{00000000-0006-0000-0100-000003000000}">
      <text>
        <r>
          <rPr>
            <sz val="10"/>
            <rFont val="Arial"/>
            <family val="2"/>
          </rPr>
          <t>Source: standard long-run U.S. ERP assumption</t>
        </r>
      </text>
    </comment>
    <comment ref="D11" authorId="0" shapeId="0" xr:uid="{00000000-0006-0000-0100-000004000000}">
      <text>
        <r>
          <rPr>
            <sz val="10"/>
            <color rgb="FF000000"/>
            <rFont val="Arial"/>
            <family val="2"/>
          </rPr>
          <t>Source: 24/7 Wall St., 2026 — FY2026 annual dividend raised to $0.99</t>
        </r>
      </text>
    </comment>
    <comment ref="D29" authorId="0" shapeId="0" xr:uid="{00000000-0006-0000-0100-000005000000}">
      <text>
        <r>
          <rPr>
            <sz val="10"/>
            <rFont val="Arial"/>
            <family val="2"/>
          </rPr>
          <t>Source: Yahoo Finance, 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200-000001000000}">
      <text>
        <r>
          <rPr>
            <sz val="10"/>
            <rFont val="Arial"/>
            <family val="2"/>
          </rPr>
          <t>Source: U.S. Dept. of the Treasury, daily par yield curve, 2026</t>
        </r>
      </text>
    </comment>
    <comment ref="D6" authorId="0" shapeId="0" xr:uid="{00000000-0006-0000-0200-000002000000}">
      <text>
        <r>
          <rPr>
            <sz val="10"/>
            <rFont val="Arial"/>
            <family val="2"/>
          </rPr>
          <t>Source: author estimate — relative earnings/price volatility vs sector</t>
        </r>
      </text>
    </comment>
    <comment ref="D7" authorId="0" shapeId="0" xr:uid="{00000000-0006-0000-0200-000003000000}">
      <text>
        <r>
          <rPr>
            <sz val="10"/>
            <rFont val="Arial"/>
            <family val="2"/>
          </rPr>
          <t>Source: standard long-run U.S. ERP assumption</t>
        </r>
      </text>
    </comment>
    <comment ref="D11" authorId="0" shapeId="0" xr:uid="{00000000-0006-0000-0200-000004000000}">
      <text>
        <r>
          <rPr>
            <sz val="10"/>
            <rFont val="Arial"/>
            <family val="2"/>
          </rPr>
          <t>Source: Costco Wholesale Corp. 8-K, 16 Apr 2025 — quarterly div. $1.30 (x4)</t>
        </r>
      </text>
    </comment>
    <comment ref="D29" authorId="0" shapeId="0" xr:uid="{00000000-0006-0000-0200-000005000000}">
      <text>
        <r>
          <rPr>
            <sz val="10"/>
            <rFont val="Arial"/>
            <family val="2"/>
          </rPr>
          <t>Source: Yahoo Finance, 2026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300-000001000000}">
      <text>
        <r>
          <rPr>
            <sz val="10"/>
            <rFont val="Arial"/>
            <family val="2"/>
          </rPr>
          <t>Source: U.S. Dept. of the Treasury, daily par yield curve, 2026</t>
        </r>
      </text>
    </comment>
    <comment ref="D6" authorId="0" shapeId="0" xr:uid="{00000000-0006-0000-0300-000002000000}">
      <text>
        <r>
          <rPr>
            <sz val="10"/>
            <rFont val="Arial"/>
            <family val="2"/>
          </rPr>
          <t>Source: author estimate — relative earnings/price volatility vs sector</t>
        </r>
      </text>
    </comment>
    <comment ref="D7" authorId="0" shapeId="0" xr:uid="{00000000-0006-0000-0300-000003000000}">
      <text>
        <r>
          <rPr>
            <sz val="10"/>
            <rFont val="Arial"/>
            <family val="2"/>
          </rPr>
          <t>Source: standard long-run U.S. ERP assumption</t>
        </r>
      </text>
    </comment>
    <comment ref="D11" authorId="0" shapeId="0" xr:uid="{00000000-0006-0000-0300-000004000000}">
      <text>
        <r>
          <rPr>
            <sz val="10"/>
            <rFont val="Arial"/>
            <family val="2"/>
          </rPr>
          <t>Source: author estimate from most recent annualised dividend run-rate</t>
        </r>
      </text>
    </comment>
    <comment ref="D29" authorId="0" shapeId="0" xr:uid="{00000000-0006-0000-0300-000005000000}">
      <text>
        <r>
          <rPr>
            <sz val="10"/>
            <rFont val="Arial"/>
            <family val="2"/>
          </rPr>
          <t>Source: Yahoo Finance, 2026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6" authorId="0" shapeId="0" xr:uid="{00000000-0006-0000-0500-000002000000}">
      <text>
        <r>
          <rPr>
            <sz val="10"/>
            <rFont val="Arial"/>
            <family val="2"/>
          </rPr>
          <t>Source: assignment brief — flat yield curve at 10%</t>
        </r>
      </text>
    </comment>
    <comment ref="H6" authorId="0" shapeId="0" xr:uid="{00000000-0006-0000-0500-000003000000}">
      <text>
        <r>
          <rPr>
            <sz val="10"/>
            <rFont val="Arial"/>
            <family val="2"/>
          </rPr>
          <t>Source: assignment brief scenario data</t>
        </r>
      </text>
    </comment>
    <comment ref="H7" authorId="0" shapeId="0" xr:uid="{00000000-0006-0000-0500-000004000000}">
      <text>
        <r>
          <rPr>
            <sz val="10"/>
            <rFont val="Arial"/>
            <family val="2"/>
          </rPr>
          <t>Source: assignment brief scenario data</t>
        </r>
      </text>
    </comment>
    <comment ref="D52" authorId="0" shapeId="0" xr:uid="{00000000-0006-0000-0500-000001000000}">
      <text>
        <r>
          <rPr>
            <sz val="10"/>
            <rFont val="Arial"/>
            <family val="2"/>
          </rPr>
          <t>Source: assignment brief scenario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6" authorId="0" shapeId="0" xr:uid="{00000000-0006-0000-0600-000001000000}">
      <text>
        <r>
          <rPr>
            <sz val="10"/>
            <rFont val="Arial"/>
            <family val="2"/>
          </rPr>
          <t>Approx. SPY close, 30 Oct 2020</t>
        </r>
      </text>
    </comment>
    <comment ref="D7" authorId="0" shapeId="0" xr:uid="{00000000-0006-0000-0600-000002000000}">
      <text>
        <r>
          <rPr>
            <sz val="10"/>
            <rFont val="Arial"/>
            <family val="2"/>
          </rPr>
          <t>At-the-money strike</t>
        </r>
      </text>
    </comment>
    <comment ref="D10" authorId="0" shapeId="0" xr:uid="{00000000-0006-0000-0600-000003000000}">
      <text>
        <r>
          <rPr>
            <sz val="10"/>
            <rFont val="Arial"/>
            <family val="2"/>
          </rPr>
          <t>Near-zero U.S. rates, late 2020</t>
        </r>
      </text>
    </comment>
    <comment ref="D11" authorId="0" shapeId="0" xr:uid="{00000000-0006-0000-0600-000004000000}">
      <text>
        <r>
          <rPr>
            <sz val="10"/>
            <rFont val="Arial"/>
            <family val="2"/>
          </rPr>
          <t>Elevated VIX ahead of election</t>
        </r>
      </text>
    </comment>
    <comment ref="D30" authorId="0" shapeId="0" xr:uid="{00000000-0006-0000-0600-000005000000}">
      <text>
        <r>
          <rPr>
            <sz val="10"/>
            <rFont val="Arial"/>
            <family val="2"/>
          </rPr>
          <t>Approx. SPY close, mid-Nov 2020</t>
        </r>
      </text>
    </comment>
  </commentList>
</comments>
</file>

<file path=xl/sharedStrings.xml><?xml version="1.0" encoding="utf-8"?>
<sst xmlns="http://schemas.openxmlformats.org/spreadsheetml/2006/main" count="193" uniqueCount="125">
  <si>
    <t>1. Cost of Equity (CAPM)</t>
  </si>
  <si>
    <t>Risk-free rate, Rf</t>
  </si>
  <si>
    <t>Beta, β</t>
  </si>
  <si>
    <t>Equity risk premium, ERP</t>
  </si>
  <si>
    <t>Cost of equity, Ke = Rf + β×ERP</t>
  </si>
  <si>
    <t>2. Dividend Growth Taper (Years 1–5)</t>
  </si>
  <si>
    <t>Current dividend, D0</t>
  </si>
  <si>
    <t>Near-term (Year 1) growth rate</t>
  </si>
  <si>
    <t>Terminal growth rate (Year 5 / perpetuity), g</t>
  </si>
  <si>
    <t>Year</t>
  </si>
  <si>
    <t>Growth rate</t>
  </si>
  <si>
    <t>Dividend (Dt)</t>
  </si>
  <si>
    <t>Discount factor @Ke</t>
  </si>
  <si>
    <t>PV of dividend</t>
  </si>
  <si>
    <t>PV of explicit dividends (Years 1–5)</t>
  </si>
  <si>
    <t>3. Terminal Value (Gordon Growth)</t>
  </si>
  <si>
    <t>Terminal value at Year 5 = D5×(1+g) / (Ke−g)</t>
  </si>
  <si>
    <t>PV of terminal value = TV / (1+Ke)^5</t>
  </si>
  <si>
    <t>4. Intrinsic Value &amp; Market Comparison</t>
  </si>
  <si>
    <t>Intrinsic value per share (DDM)</t>
  </si>
  <si>
    <t>Current market price</t>
  </si>
  <si>
    <t>Premium / (discount) of market price to intrinsic value</t>
  </si>
  <si>
    <t>Classification (DDM basis)</t>
  </si>
  <si>
    <t>Company</t>
  </si>
  <si>
    <t>Ticker</t>
  </si>
  <si>
    <t>Price (USD)</t>
  </si>
  <si>
    <t>Trailing P/E</t>
  </si>
  <si>
    <t>EV/EBITDA</t>
  </si>
  <si>
    <t>Walmart</t>
  </si>
  <si>
    <t>WMT</t>
  </si>
  <si>
    <t>Target</t>
  </si>
  <si>
    <t>TGT</t>
  </si>
  <si>
    <t>Costco</t>
  </si>
  <si>
    <t>COST</t>
  </si>
  <si>
    <t>Dollar General</t>
  </si>
  <si>
    <t>DG</t>
  </si>
  <si>
    <t>Dollar Tree</t>
  </si>
  <si>
    <t>DLTR</t>
  </si>
  <si>
    <t>Peer group average</t>
  </si>
  <si>
    <t>Absolute vs Relative vs Market Summary</t>
  </si>
  <si>
    <t>DDM value</t>
  </si>
  <si>
    <t>Market price</t>
  </si>
  <si>
    <t>P/E vs peer avg</t>
  </si>
  <si>
    <t>EV/EBITDA vs peer avg</t>
  </si>
  <si>
    <t>Relative view</t>
  </si>
  <si>
    <t>1. Bond Characteristics &amp; Price Verification</t>
  </si>
  <si>
    <t>Bond</t>
  </si>
  <si>
    <t>Face value</t>
  </si>
  <si>
    <t>Coupon rate</t>
  </si>
  <si>
    <t>Annual coupon</t>
  </si>
  <si>
    <t>Years to maturity</t>
  </si>
  <si>
    <t>Yield</t>
  </si>
  <si>
    <t>Given price</t>
  </si>
  <si>
    <t>DCF price (check)</t>
  </si>
  <si>
    <t>Bond A</t>
  </si>
  <si>
    <t>Bond B</t>
  </si>
  <si>
    <t>2. Cash Flow Schedules &amp; Duration/Convexity (Bond A, n=5 and Bond B, n=10)</t>
  </si>
  <si>
    <t>Bond A (5-year) cash flow schedule</t>
  </si>
  <si>
    <t>t</t>
  </si>
  <si>
    <t>Cash flow (CFt)</t>
  </si>
  <si>
    <t>Discount factor</t>
  </si>
  <si>
    <t>PV(CFt)</t>
  </si>
  <si>
    <t>t × PV(CFt)</t>
  </si>
  <si>
    <t>t(t+1) × PV(CFt)</t>
  </si>
  <si>
    <t>Sum PV(CFt)  [= price]</t>
  </si>
  <si>
    <t>Sum t×PV(CFt)</t>
  </si>
  <si>
    <t>Sum t(t+1)×PV(CFt)</t>
  </si>
  <si>
    <t>Macaulay Duration = Σ[t×PV(CFt)] / Price</t>
  </si>
  <si>
    <t>Modified Duration = Macaulay / (1+y)</t>
  </si>
  <si>
    <t>Convexity = Σ[t(t+1)×PV(CFt)] / [Price×(1+y)²]</t>
  </si>
  <si>
    <t>Bond B (10-year) cash flow schedule</t>
  </si>
  <si>
    <t>3. Duration &amp; Convexity Summary</t>
  </si>
  <si>
    <t>Macaulay Duration (yrs)</t>
  </si>
  <si>
    <t>Modified Duration</t>
  </si>
  <si>
    <t>Convexity</t>
  </si>
  <si>
    <t>Bond A (5-year)</t>
  </si>
  <si>
    <t>Bond B (10-year)</t>
  </si>
  <si>
    <t>4. Liability Funding Analysis (Bond A)</t>
  </si>
  <si>
    <t>Liability due in 5 years</t>
  </si>
  <si>
    <t>FV per Bond A unit at year 5 (coupons reinvested @10% + redemption)</t>
  </si>
  <si>
    <t>Units of Bond A required = Liability / FV per bond</t>
  </si>
  <si>
    <t>Initial investment required = Units × Bond A price</t>
  </si>
  <si>
    <t>5. Interest Rate Sensitivity of Reinvested Coupons</t>
  </si>
  <si>
    <t>Reinvestment yield</t>
  </si>
  <si>
    <t>FV per Bond A unit</t>
  </si>
  <si>
    <t>Total FV (units × FV/unit)</t>
  </si>
  <si>
    <t>Shortfall/(surplus) vs $1,000,000</t>
  </si>
  <si>
    <t>6. Duration–Convexity Price Change Estimates (100bps parallel shift)</t>
  </si>
  <si>
    <t>Δy</t>
  </si>
  <si>
    <t>Est. %ΔPrice = -(ModDur×Δy)+½×Convexity×Δy²</t>
  </si>
  <si>
    <t>Est. new price</t>
  </si>
  <si>
    <t>1. Inputs</t>
  </si>
  <si>
    <t>Spot price, S0</t>
  </si>
  <si>
    <t>Strike price, K</t>
  </si>
  <si>
    <t>Time to maturity (days)</t>
  </si>
  <si>
    <t>Time to maturity, T (years) = days/365</t>
  </si>
  <si>
    <t>Risk-free rate, r</t>
  </si>
  <si>
    <t>Implied volatility, σ</t>
  </si>
  <si>
    <t>2. Black-Scholes-Merton Calculation</t>
  </si>
  <si>
    <t>d1 = [ln(S0/K) + (r+σ²/2)×T] / (σ×√T)</t>
  </si>
  <si>
    <t>d2 = d1 − σ×√T</t>
  </si>
  <si>
    <t>N(d1)</t>
  </si>
  <si>
    <t>N(d2)</t>
  </si>
  <si>
    <t>N(-d1)</t>
  </si>
  <si>
    <t>N(-d2)</t>
  </si>
  <si>
    <t>Call price, C = S0×N(d1) − K×e^(−rT)×N(d2)</t>
  </si>
  <si>
    <t>Put price, P = K×e^(−rT)×N(−d2) − S0×N(−d1)</t>
  </si>
  <si>
    <t>Straddle cost = Call + Put</t>
  </si>
  <si>
    <t>3. Breakeven Points</t>
  </si>
  <si>
    <t>Lower breakeven = K − Premium</t>
  </si>
  <si>
    <t>Upper breakeven = K + Premium</t>
  </si>
  <si>
    <t>4. Profit &amp; Loss at Maturity (realised outcome)</t>
  </si>
  <si>
    <t>SPY at expiry, St</t>
  </si>
  <si>
    <t>Call payoff = MAX(St−K, 0)</t>
  </si>
  <si>
    <t>Put payoff = MAX(K−St, 0)</t>
  </si>
  <si>
    <t>Total straddle payoff</t>
  </si>
  <si>
    <t>Straddle premium paid</t>
  </si>
  <si>
    <t>Net P&amp;L per straddle</t>
  </si>
  <si>
    <t>Return on premium</t>
  </si>
  <si>
    <t>5. Payoff Diagram Data (for chart)</t>
  </si>
  <si>
    <t>SPY price at expiry</t>
  </si>
  <si>
    <t>Call payoff</t>
  </si>
  <si>
    <t>Put payoff</t>
  </si>
  <si>
    <t>Gross payoff</t>
  </si>
  <si>
    <t>Net P&amp;L (less premium)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</si>
</sst>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Long Straddle — Net P&amp;L at Expiry (SPY)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D_BSM_Straddle!$F$39</c:f>
              <c:strCache>
                <c:ptCount val="1"/>
                <c:pt idx="0">
                  <c:v>Net P&amp;L (less premium)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D_BSM_Straddle!$B$40:$B$54</c:f>
              <c:numCache>
                <c:formatCode>General</c:formatCode>
                <c:ptCount val="15"/>
                <c:pt idx="0">
                  <c:v>260</c:v>
                </c:pt>
                <c:pt idx="1">
                  <c:v>270</c:v>
                </c:pt>
                <c:pt idx="2">
                  <c:v>280</c:v>
                </c:pt>
                <c:pt idx="3">
                  <c:v>290</c:v>
                </c:pt>
                <c:pt idx="4">
                  <c:v>300</c:v>
                </c:pt>
                <c:pt idx="5">
                  <c:v>310</c:v>
                </c:pt>
                <c:pt idx="6">
                  <c:v>320</c:v>
                </c:pt>
                <c:pt idx="7">
                  <c:v>330</c:v>
                </c:pt>
                <c:pt idx="8">
                  <c:v>340</c:v>
                </c:pt>
                <c:pt idx="9">
                  <c:v>350</c:v>
                </c:pt>
                <c:pt idx="10">
                  <c:v>360</c:v>
                </c:pt>
                <c:pt idx="11">
                  <c:v>370</c:v>
                </c:pt>
                <c:pt idx="12">
                  <c:v>380</c:v>
                </c:pt>
                <c:pt idx="13">
                  <c:v>390</c:v>
                </c:pt>
                <c:pt idx="14">
                  <c:v>400</c:v>
                </c:pt>
              </c:numCache>
            </c:numRef>
          </c:cat>
          <c:val>
            <c:numRef>
              <c:f>D_BSM_Straddle!$F$40:$F$54</c:f>
              <c:numCache>
                <c:formatCode>General</c:formatCode>
                <c:ptCount val="15"/>
                <c:pt idx="0">
                  <c:v>47.597917523317733</c:v>
                </c:pt>
                <c:pt idx="1">
                  <c:v>37.597917523317733</c:v>
                </c:pt>
                <c:pt idx="2">
                  <c:v>27.597917523317733</c:v>
                </c:pt>
                <c:pt idx="3">
                  <c:v>17.597917523317733</c:v>
                </c:pt>
                <c:pt idx="4">
                  <c:v>7.597917523317733</c:v>
                </c:pt>
                <c:pt idx="5">
                  <c:v>-2.402082476682267</c:v>
                </c:pt>
                <c:pt idx="6">
                  <c:v>-12.402082476682267</c:v>
                </c:pt>
                <c:pt idx="7">
                  <c:v>-16.402082476682267</c:v>
                </c:pt>
                <c:pt idx="8">
                  <c:v>-6.402082476682267</c:v>
                </c:pt>
                <c:pt idx="9">
                  <c:v>3.597917523317733</c:v>
                </c:pt>
                <c:pt idx="10">
                  <c:v>13.597917523317733</c:v>
                </c:pt>
                <c:pt idx="11">
                  <c:v>23.597917523317733</c:v>
                </c:pt>
                <c:pt idx="12">
                  <c:v>33.597917523317733</c:v>
                </c:pt>
                <c:pt idx="13">
                  <c:v>43.597917523317733</c:v>
                </c:pt>
                <c:pt idx="14">
                  <c:v>53.597917523317733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B-9847-8A77-25AFA4FF5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9202555"/>
        <c:axId val="94917097"/>
      </c:lineChart>
      <c:catAx>
        <c:axId val="192025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SPY price at expiry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17097"/>
        <c:crosses val="autoZero"/>
        <c:auto val="1"/>
        <c:lblAlgn val="ctr"/>
        <c:lblOffset val="100"/>
        <c:noMultiLvlLbl val="0"/>
      </c:catAx>
      <c:valAx>
        <c:axId val="94917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Net P&amp;L per straddle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2025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37</xdr:row>
      <xdr:rowOff>160560</xdr:rowOff>
    </xdr:from>
    <xdr:to>
      <xdr:col>17</xdr:col>
      <xdr:colOff>364680</xdr:colOff>
      <xdr:row>57</xdr:row>
      <xdr:rowOff>3040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31"/>
  <sheetViews>
    <sheetView showGridLines="0" tabSelected="1" zoomScaleNormal="100" workbookViewId="0">
      <selection activeCell="H20" sqref="H20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3" width="4" customWidth="1"/>
    <col min="4" max="7" width="16" customWidth="1"/>
  </cols>
  <sheetData>
    <row r="4" spans="2:7" x14ac:dyDescent="0.2">
      <c r="B4" t="s">
        <v>0</v>
      </c>
    </row>
    <row r="5" spans="2:7" x14ac:dyDescent="0.2">
      <c r="B5" t="s">
        <v>1</v>
      </c>
      <c r="D5">
        <v>4.4699999999999997E-2</v>
      </c>
    </row>
    <row r="6" spans="2:7" x14ac:dyDescent="0.2">
      <c r="B6" t="s">
        <v>2</v>
      </c>
      <c r="D6">
        <v>0.55000000000000004</v>
      </c>
    </row>
    <row r="7" spans="2:7" x14ac:dyDescent="0.2">
      <c r="B7" t="s">
        <v>3</v>
      </c>
      <c r="D7">
        <v>5.5E-2</v>
      </c>
    </row>
    <row r="8" spans="2:7" x14ac:dyDescent="0.2">
      <c r="B8" t="s">
        <v>4</v>
      </c>
      <c r="D8">
        <f>D5+D6*D7</f>
        <v>7.4950000000000003E-2</v>
      </c>
    </row>
    <row r="10" spans="2:7" x14ac:dyDescent="0.2">
      <c r="B10" t="s">
        <v>5</v>
      </c>
    </row>
    <row r="11" spans="2:7" x14ac:dyDescent="0.2">
      <c r="B11" t="s">
        <v>6</v>
      </c>
      <c r="D11">
        <v>0.99</v>
      </c>
    </row>
    <row r="12" spans="2:7" x14ac:dyDescent="0.2">
      <c r="B12" t="s">
        <v>7</v>
      </c>
      <c r="D12">
        <v>5.2999999999999999E-2</v>
      </c>
    </row>
    <row r="13" spans="2:7" x14ac:dyDescent="0.2">
      <c r="B13" t="s">
        <v>8</v>
      </c>
      <c r="D13">
        <v>0.04</v>
      </c>
    </row>
    <row r="15" spans="2:7" x14ac:dyDescent="0.2">
      <c r="B15" t="s">
        <v>9</v>
      </c>
      <c r="C15" t="s">
        <v>10</v>
      </c>
      <c r="D15" t="s">
        <v>11</v>
      </c>
      <c r="E15" t="s">
        <v>12</v>
      </c>
      <c r="F15" t="s">
        <v>13</v>
      </c>
    </row>
    <row r="16" spans="2:7" x14ac:dyDescent="0.2">
      <c r="B16">
        <v>1</v>
      </c>
      <c r="D16">
        <f>D12</f>
        <v>5.2999999999999999E-2</v>
      </c>
      <c r="E16">
        <f>D11*(1+D16)</f>
        <v>1.04247</v>
      </c>
      <c r="F16">
        <f>1/(1+$D$8)^1</f>
        <v>0.93027582678264098</v>
      </c>
      <c r="G16">
        <f>E16*F16</f>
        <v>0.96978464114609975</v>
      </c>
    </row>
    <row r="17" spans="2:7" x14ac:dyDescent="0.2">
      <c r="B17">
        <v>2</v>
      </c>
      <c r="D17">
        <f>$D$12+(2-1)*($D$13-$D$12)/4</f>
        <v>4.9750000000000003E-2</v>
      </c>
      <c r="E17">
        <f>E16*(1+D17)</f>
        <v>1.0943328825</v>
      </c>
      <c r="F17">
        <f>1/(1+$D$8)^2</f>
        <v>0.8654131138961263</v>
      </c>
      <c r="G17">
        <f>E17*F17</f>
        <v>0.94705002748324874</v>
      </c>
    </row>
    <row r="18" spans="2:7" x14ac:dyDescent="0.2">
      <c r="B18">
        <v>3</v>
      </c>
      <c r="D18">
        <f>$D$12+(3-1)*($D$13-$D$12)/4</f>
        <v>4.65E-2</v>
      </c>
      <c r="E18">
        <f>E17*(1+D18)</f>
        <v>1.14521936153625</v>
      </c>
      <c r="F18">
        <f>1/(1+$D$8)^3</f>
        <v>0.80507290003825871</v>
      </c>
      <c r="G18">
        <f>E18*F18</f>
        <v>0.92198507257195184</v>
      </c>
    </row>
    <row r="19" spans="2:7" x14ac:dyDescent="0.2">
      <c r="B19">
        <v>4</v>
      </c>
      <c r="D19">
        <f>$D$12+(4-1)*($D$13-$D$12)/4</f>
        <v>4.3249999999999997E-2</v>
      </c>
      <c r="E19">
        <f>E18*(1+D19)</f>
        <v>1.1947500989226929</v>
      </c>
      <c r="F19">
        <f>1/(1+$D$8)^4</f>
        <v>0.74893985770338956</v>
      </c>
      <c r="G19">
        <f>E19*F19</f>
        <v>0.89479596907827219</v>
      </c>
    </row>
    <row r="20" spans="2:7" x14ac:dyDescent="0.2">
      <c r="B20">
        <v>5</v>
      </c>
      <c r="D20">
        <f>$D$12+(5-1)*($D$13-$D$12)/4</f>
        <v>0.04</v>
      </c>
      <c r="E20">
        <f>E19*(1+D20)</f>
        <v>1.2425401028796006</v>
      </c>
      <c r="F20">
        <f>1/(1+$D$8)^5</f>
        <v>0.69672064533549427</v>
      </c>
      <c r="G20">
        <f>E20*F20</f>
        <v>0.86570334233350676</v>
      </c>
    </row>
    <row r="21" spans="2:7" x14ac:dyDescent="0.2">
      <c r="B21" t="s">
        <v>14</v>
      </c>
      <c r="G21">
        <f>SUM(G16:G20)</f>
        <v>4.5993190526130796</v>
      </c>
    </row>
    <row r="23" spans="2:7" x14ac:dyDescent="0.2">
      <c r="B23" t="s">
        <v>15</v>
      </c>
    </row>
    <row r="24" spans="2:7" x14ac:dyDescent="0.2">
      <c r="B24" t="s">
        <v>16</v>
      </c>
      <c r="D24">
        <f>E20*(1+D13)/(D8-D13)</f>
        <v>36.974011645058212</v>
      </c>
    </row>
    <row r="25" spans="2:7" x14ac:dyDescent="0.2">
      <c r="B25" t="s">
        <v>17</v>
      </c>
      <c r="D25">
        <f>D24/(1+D8)^5</f>
        <v>25.760557253987038</v>
      </c>
    </row>
    <row r="27" spans="2:7" x14ac:dyDescent="0.2">
      <c r="B27" t="s">
        <v>18</v>
      </c>
    </row>
    <row r="28" spans="2:7" x14ac:dyDescent="0.2">
      <c r="B28" t="s">
        <v>19</v>
      </c>
      <c r="D28">
        <f>G21+D25</f>
        <v>30.359876306600118</v>
      </c>
    </row>
    <row r="29" spans="2:7" x14ac:dyDescent="0.2">
      <c r="B29" t="s">
        <v>20</v>
      </c>
      <c r="D29">
        <v>111.84</v>
      </c>
    </row>
    <row r="30" spans="2:7" x14ac:dyDescent="0.2">
      <c r="B30" t="s">
        <v>21</v>
      </c>
      <c r="D30">
        <f>D29/D28-1</f>
        <v>2.6838094750631916</v>
      </c>
    </row>
    <row r="31" spans="2:7" x14ac:dyDescent="0.2">
      <c r="B31" t="s">
        <v>22</v>
      </c>
      <c r="D31" t="str">
        <f>IF(D30&gt;0.05,"Overvalued",IF(D30&lt;-0.05,"Undervalued","Fairly valued"))</f>
        <v>Overvalued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31"/>
  <sheetViews>
    <sheetView showGridLines="0" zoomScaleNormal="100" workbookViewId="0">
      <selection activeCell="H34" sqref="H34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3" width="4" customWidth="1"/>
    <col min="4" max="7" width="16" customWidth="1"/>
  </cols>
  <sheetData>
    <row r="4" spans="2:7" x14ac:dyDescent="0.2">
      <c r="B4" t="s">
        <v>0</v>
      </c>
    </row>
    <row r="5" spans="2:7" x14ac:dyDescent="0.2">
      <c r="B5" t="s">
        <v>1</v>
      </c>
      <c r="D5">
        <v>4.4699999999999997E-2</v>
      </c>
    </row>
    <row r="6" spans="2:7" x14ac:dyDescent="0.2">
      <c r="B6" t="s">
        <v>2</v>
      </c>
      <c r="D6">
        <v>0.75</v>
      </c>
    </row>
    <row r="7" spans="2:7" x14ac:dyDescent="0.2">
      <c r="B7" t="s">
        <v>3</v>
      </c>
      <c r="D7">
        <v>5.5E-2</v>
      </c>
    </row>
    <row r="8" spans="2:7" x14ac:dyDescent="0.2">
      <c r="B8" t="s">
        <v>4</v>
      </c>
      <c r="D8">
        <f>D5+D6*D7</f>
        <v>8.5949999999999999E-2</v>
      </c>
    </row>
    <row r="10" spans="2:7" x14ac:dyDescent="0.2">
      <c r="B10" t="s">
        <v>5</v>
      </c>
    </row>
    <row r="11" spans="2:7" x14ac:dyDescent="0.2">
      <c r="B11" t="s">
        <v>6</v>
      </c>
      <c r="D11">
        <v>5.2</v>
      </c>
    </row>
    <row r="12" spans="2:7" x14ac:dyDescent="0.2">
      <c r="B12" t="s">
        <v>7</v>
      </c>
      <c r="D12">
        <v>0.12</v>
      </c>
    </row>
    <row r="13" spans="2:7" x14ac:dyDescent="0.2">
      <c r="B13" t="s">
        <v>8</v>
      </c>
      <c r="D13">
        <v>0.06</v>
      </c>
    </row>
    <row r="15" spans="2:7" x14ac:dyDescent="0.2">
      <c r="B15" t="s">
        <v>9</v>
      </c>
      <c r="C15" t="s">
        <v>10</v>
      </c>
      <c r="D15" t="s">
        <v>11</v>
      </c>
      <c r="E15" t="s">
        <v>12</v>
      </c>
      <c r="F15" t="s">
        <v>13</v>
      </c>
    </row>
    <row r="16" spans="2:7" x14ac:dyDescent="0.2">
      <c r="B16">
        <v>1</v>
      </c>
      <c r="D16">
        <f>D12</f>
        <v>0.12</v>
      </c>
      <c r="E16">
        <f>D11*(1+D16)</f>
        <v>5.8240000000000007</v>
      </c>
      <c r="F16">
        <f>1/(1+$D$8)^1</f>
        <v>0.92085270960909804</v>
      </c>
      <c r="G16">
        <f>E16*F16</f>
        <v>5.363046180763388</v>
      </c>
    </row>
    <row r="17" spans="2:7" x14ac:dyDescent="0.2">
      <c r="B17">
        <v>2</v>
      </c>
      <c r="D17">
        <f>$D$12+(2-1)*($D$13-$D$12)/4</f>
        <v>0.105</v>
      </c>
      <c r="E17">
        <f>E16*(1+D17)</f>
        <v>6.4355200000000004</v>
      </c>
      <c r="F17">
        <f>1/(1+$D$8)^2</f>
        <v>0.8479697127944178</v>
      </c>
      <c r="G17">
        <f>E17*F17</f>
        <v>5.457126046082732</v>
      </c>
    </row>
    <row r="18" spans="2:7" x14ac:dyDescent="0.2">
      <c r="B18">
        <v>3</v>
      </c>
      <c r="D18">
        <f>$D$12+(3-1)*($D$13-$D$12)/4</f>
        <v>0.09</v>
      </c>
      <c r="E18">
        <f>E17*(1+D18)</f>
        <v>7.0147168000000013</v>
      </c>
      <c r="F18">
        <f>1/(1+$D$8)^3</f>
        <v>0.78085520769318828</v>
      </c>
      <c r="G18">
        <f>E18*F18</f>
        <v>5.4774781437728981</v>
      </c>
    </row>
    <row r="19" spans="2:7" x14ac:dyDescent="0.2">
      <c r="B19">
        <v>4</v>
      </c>
      <c r="D19">
        <f>$D$12+(4-1)*($D$13-$D$12)/4</f>
        <v>7.4999999999999997E-2</v>
      </c>
      <c r="E19">
        <f>E18*(1+D19)</f>
        <v>7.5408205600000011</v>
      </c>
      <c r="F19">
        <f>1/(1+$D$8)^4</f>
        <v>0.71905263381664741</v>
      </c>
      <c r="G19">
        <f>E19*F19</f>
        <v>5.4222468848067269</v>
      </c>
    </row>
    <row r="20" spans="2:7" x14ac:dyDescent="0.2">
      <c r="B20">
        <v>5</v>
      </c>
      <c r="D20">
        <f>$D$12+(5-1)*($D$13-$D$12)/4</f>
        <v>0.06</v>
      </c>
      <c r="E20">
        <f>E19*(1+D20)</f>
        <v>7.9932697936000014</v>
      </c>
      <c r="F20">
        <f>1/(1+$D$8)^5</f>
        <v>0.66214156620161835</v>
      </c>
      <c r="G20">
        <f>E20*F20</f>
        <v>5.2926761802063913</v>
      </c>
    </row>
    <row r="21" spans="2:7" x14ac:dyDescent="0.2">
      <c r="B21" t="s">
        <v>14</v>
      </c>
      <c r="G21">
        <f>SUM(G16:G20)</f>
        <v>27.012573435632135</v>
      </c>
    </row>
    <row r="23" spans="2:7" x14ac:dyDescent="0.2">
      <c r="B23" t="s">
        <v>15</v>
      </c>
    </row>
    <row r="24" spans="2:7" x14ac:dyDescent="0.2">
      <c r="B24" t="s">
        <v>16</v>
      </c>
      <c r="D24">
        <f>E20*(1+D13)/(D8-D13)</f>
        <v>326.50735958443164</v>
      </c>
    </row>
    <row r="25" spans="2:7" x14ac:dyDescent="0.2">
      <c r="B25" t="s">
        <v>17</v>
      </c>
      <c r="D25">
        <f>D24/(1+D8)^5</f>
        <v>216.19409445159056</v>
      </c>
    </row>
    <row r="27" spans="2:7" x14ac:dyDescent="0.2">
      <c r="B27" t="s">
        <v>18</v>
      </c>
    </row>
    <row r="28" spans="2:7" x14ac:dyDescent="0.2">
      <c r="B28" t="s">
        <v>19</v>
      </c>
      <c r="D28">
        <f>G21+D25</f>
        <v>243.20666788722269</v>
      </c>
    </row>
    <row r="29" spans="2:7" x14ac:dyDescent="0.2">
      <c r="B29" t="s">
        <v>20</v>
      </c>
      <c r="D29">
        <v>935.47</v>
      </c>
    </row>
    <row r="30" spans="2:7" x14ac:dyDescent="0.2">
      <c r="B30" t="s">
        <v>21</v>
      </c>
      <c r="D30">
        <f>D29/D28-1</f>
        <v>2.8463994763243359</v>
      </c>
    </row>
    <row r="31" spans="2:7" x14ac:dyDescent="0.2">
      <c r="B31" t="s">
        <v>22</v>
      </c>
      <c r="D31" t="str">
        <f>IF(D30&gt;0.05,"Overvalued",IF(D30&lt;-0.05,"Undervalued","Fairly valued"))</f>
        <v>Overvalued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G31"/>
  <sheetViews>
    <sheetView showGridLines="0" zoomScaleNormal="100" workbookViewId="0">
      <selection activeCell="L22" sqref="L22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3" width="4" customWidth="1"/>
    <col min="4" max="7" width="16" customWidth="1"/>
  </cols>
  <sheetData>
    <row r="4" spans="2:7" x14ac:dyDescent="0.2">
      <c r="B4" t="s">
        <v>0</v>
      </c>
    </row>
    <row r="5" spans="2:7" x14ac:dyDescent="0.2">
      <c r="B5" t="s">
        <v>1</v>
      </c>
      <c r="D5">
        <v>4.4699999999999997E-2</v>
      </c>
    </row>
    <row r="6" spans="2:7" x14ac:dyDescent="0.2">
      <c r="B6" t="s">
        <v>2</v>
      </c>
      <c r="D6">
        <v>1.05</v>
      </c>
    </row>
    <row r="7" spans="2:7" x14ac:dyDescent="0.2">
      <c r="B7" t="s">
        <v>3</v>
      </c>
      <c r="D7">
        <v>5.5E-2</v>
      </c>
    </row>
    <row r="8" spans="2:7" x14ac:dyDescent="0.2">
      <c r="B8" t="s">
        <v>4</v>
      </c>
      <c r="D8">
        <f>D5+D6*D7</f>
        <v>0.10245</v>
      </c>
    </row>
    <row r="10" spans="2:7" x14ac:dyDescent="0.2">
      <c r="B10" t="s">
        <v>5</v>
      </c>
    </row>
    <row r="11" spans="2:7" x14ac:dyDescent="0.2">
      <c r="B11" t="s">
        <v>6</v>
      </c>
      <c r="D11">
        <v>4.5199999999999996</v>
      </c>
    </row>
    <row r="12" spans="2:7" x14ac:dyDescent="0.2">
      <c r="B12" t="s">
        <v>7</v>
      </c>
      <c r="D12">
        <v>1.4999999999999999E-2</v>
      </c>
    </row>
    <row r="13" spans="2:7" x14ac:dyDescent="0.2">
      <c r="B13" t="s">
        <v>8</v>
      </c>
      <c r="D13">
        <v>0.03</v>
      </c>
    </row>
    <row r="15" spans="2:7" x14ac:dyDescent="0.2">
      <c r="B15" t="s">
        <v>9</v>
      </c>
      <c r="C15" t="s">
        <v>10</v>
      </c>
      <c r="D15" t="s">
        <v>11</v>
      </c>
      <c r="E15" t="s">
        <v>12</v>
      </c>
      <c r="F15" t="s">
        <v>13</v>
      </c>
    </row>
    <row r="16" spans="2:7" x14ac:dyDescent="0.2">
      <c r="B16">
        <v>1</v>
      </c>
      <c r="D16">
        <f>D12</f>
        <v>1.4999999999999999E-2</v>
      </c>
      <c r="E16">
        <f>D11*(1+D16)</f>
        <v>4.5877999999999988</v>
      </c>
      <c r="F16">
        <f>1/(1+$D$8)^1</f>
        <v>0.90707061544741263</v>
      </c>
      <c r="G16">
        <f>E16*F16</f>
        <v>4.1614585695496382</v>
      </c>
    </row>
    <row r="17" spans="2:7" x14ac:dyDescent="0.2">
      <c r="B17">
        <v>2</v>
      </c>
      <c r="D17">
        <f>$D$12+(2-1)*($D$13-$D$12)/4</f>
        <v>1.8749999999999999E-2</v>
      </c>
      <c r="E17">
        <f>E16*(1+D17)</f>
        <v>4.6738212499999987</v>
      </c>
      <c r="F17">
        <f>1/(1+$D$8)^2</f>
        <v>0.82277710140814786</v>
      </c>
      <c r="G17">
        <f>E17*F17</f>
        <v>3.8455131005748053</v>
      </c>
    </row>
    <row r="18" spans="2:7" x14ac:dyDescent="0.2">
      <c r="B18">
        <v>3</v>
      </c>
      <c r="D18">
        <f>$D$12+(3-1)*($D$13-$D$12)/4</f>
        <v>2.2499999999999999E-2</v>
      </c>
      <c r="E18">
        <f>E17*(1+D18)</f>
        <v>4.778982228124999</v>
      </c>
      <c r="F18">
        <f>1/(1+$D$8)^3</f>
        <v>0.74631693175032687</v>
      </c>
      <c r="G18">
        <f>E18*F18</f>
        <v>3.5666353533835897</v>
      </c>
    </row>
    <row r="19" spans="2:7" x14ac:dyDescent="0.2">
      <c r="B19">
        <v>4</v>
      </c>
      <c r="D19">
        <f>$D$12+(4-1)*($D$13-$D$12)/4</f>
        <v>2.6249999999999999E-2</v>
      </c>
      <c r="E19">
        <f>E18*(1+D19)</f>
        <v>4.9044305116132803</v>
      </c>
      <c r="F19">
        <f>1/(1+$D$8)^4</f>
        <v>0.6769621586015937</v>
      </c>
      <c r="G19">
        <f>E19*F19</f>
        <v>3.3201138658532448</v>
      </c>
    </row>
    <row r="20" spans="2:7" x14ac:dyDescent="0.2">
      <c r="B20">
        <v>5</v>
      </c>
      <c r="D20">
        <f>$D$12+(5-1)*($D$13-$D$12)/4</f>
        <v>0.03</v>
      </c>
      <c r="E20">
        <f>E19*(1+D20)</f>
        <v>5.0515634269616791</v>
      </c>
      <c r="F20">
        <f>1/(1+$D$8)^5</f>
        <v>0.6140524818373565</v>
      </c>
      <c r="G20">
        <f>E20*F20</f>
        <v>3.1019250594846408</v>
      </c>
    </row>
    <row r="21" spans="2:7" x14ac:dyDescent="0.2">
      <c r="B21" t="s">
        <v>14</v>
      </c>
      <c r="G21">
        <f>SUM(G16:G20)</f>
        <v>17.995645948845919</v>
      </c>
    </row>
    <row r="23" spans="2:7" x14ac:dyDescent="0.2">
      <c r="B23" t="s">
        <v>15</v>
      </c>
    </row>
    <row r="24" spans="2:7" x14ac:dyDescent="0.2">
      <c r="B24" t="s">
        <v>16</v>
      </c>
      <c r="D24">
        <f>E20*(1+D13)/(D8-D13)</f>
        <v>71.816567698696062</v>
      </c>
    </row>
    <row r="25" spans="2:7" x14ac:dyDescent="0.2">
      <c r="B25" t="s">
        <v>17</v>
      </c>
      <c r="D25">
        <f>D24/(1+D8)^5</f>
        <v>44.099141632424846</v>
      </c>
    </row>
    <row r="27" spans="2:7" x14ac:dyDescent="0.2">
      <c r="B27" t="s">
        <v>18</v>
      </c>
    </row>
    <row r="28" spans="2:7" x14ac:dyDescent="0.2">
      <c r="B28" t="s">
        <v>19</v>
      </c>
      <c r="D28">
        <f>G21+D25</f>
        <v>62.094787581270765</v>
      </c>
    </row>
    <row r="29" spans="2:7" x14ac:dyDescent="0.2">
      <c r="B29" t="s">
        <v>20</v>
      </c>
      <c r="D29">
        <v>130.56</v>
      </c>
    </row>
    <row r="30" spans="2:7" x14ac:dyDescent="0.2">
      <c r="B30" t="s">
        <v>21</v>
      </c>
      <c r="D30">
        <f>D29/D28-1</f>
        <v>1.1025919418617987</v>
      </c>
    </row>
    <row r="31" spans="2:7" x14ac:dyDescent="0.2">
      <c r="B31" t="s">
        <v>22</v>
      </c>
      <c r="D31" t="str">
        <f>IF(D30&gt;0.05,"Overvalued",IF(D30&lt;-0.05,"Undervalued","Fairly valued"))</f>
        <v>Overvalued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G17"/>
  <sheetViews>
    <sheetView showGridLines="0" zoomScaleNormal="100" workbookViewId="0">
      <selection activeCell="I33" sqref="I33"/>
    </sheetView>
  </sheetViews>
  <sheetFormatPr baseColWidth="10" defaultColWidth="8.6640625" defaultRowHeight="15" x14ac:dyDescent="0.2"/>
  <cols>
    <col min="1" max="1" width="3" customWidth="1"/>
    <col min="2" max="2" width="20" customWidth="1"/>
    <col min="3" max="7" width="17" customWidth="1"/>
  </cols>
  <sheetData>
    <row r="5" spans="2:7" x14ac:dyDescent="0.2"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2:7" x14ac:dyDescent="0.2">
      <c r="B6" t="s">
        <v>28</v>
      </c>
      <c r="C6" t="s">
        <v>29</v>
      </c>
      <c r="D6">
        <v>111.84</v>
      </c>
      <c r="E6">
        <v>38.32</v>
      </c>
      <c r="F6">
        <v>19.309999999999999</v>
      </c>
    </row>
    <row r="7" spans="2:7" x14ac:dyDescent="0.2">
      <c r="B7" t="s">
        <v>30</v>
      </c>
      <c r="C7" t="s">
        <v>31</v>
      </c>
      <c r="D7">
        <v>130.56</v>
      </c>
      <c r="E7">
        <v>17.25</v>
      </c>
      <c r="F7">
        <v>9.2799999999999994</v>
      </c>
    </row>
    <row r="8" spans="2:7" x14ac:dyDescent="0.2">
      <c r="B8" t="s">
        <v>32</v>
      </c>
      <c r="C8" t="s">
        <v>33</v>
      </c>
      <c r="D8">
        <v>935.47</v>
      </c>
      <c r="E8">
        <v>47.06</v>
      </c>
      <c r="F8">
        <v>30.1</v>
      </c>
    </row>
    <row r="9" spans="2:7" x14ac:dyDescent="0.2">
      <c r="B9" t="s">
        <v>34</v>
      </c>
      <c r="C9" t="s">
        <v>35</v>
      </c>
      <c r="D9">
        <v>116.42</v>
      </c>
      <c r="E9">
        <v>17.8</v>
      </c>
      <c r="F9">
        <v>10.199999999999999</v>
      </c>
    </row>
    <row r="10" spans="2:7" x14ac:dyDescent="0.2">
      <c r="B10" t="s">
        <v>36</v>
      </c>
      <c r="C10" t="s">
        <v>37</v>
      </c>
      <c r="D10">
        <v>123.4</v>
      </c>
      <c r="E10">
        <v>19.399999999999999</v>
      </c>
      <c r="F10">
        <v>9.85</v>
      </c>
    </row>
    <row r="11" spans="2:7" x14ac:dyDescent="0.2">
      <c r="B11" t="s">
        <v>38</v>
      </c>
      <c r="E11">
        <f>AVERAGE(E6:E10)</f>
        <v>27.965999999999998</v>
      </c>
      <c r="F11">
        <f>AVERAGE(F6:F10)</f>
        <v>15.747999999999999</v>
      </c>
    </row>
    <row r="13" spans="2:7" x14ac:dyDescent="0.2">
      <c r="B13" t="s">
        <v>39</v>
      </c>
    </row>
    <row r="14" spans="2:7" x14ac:dyDescent="0.2">
      <c r="B14" t="s">
        <v>23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</row>
    <row r="15" spans="2:7" x14ac:dyDescent="0.2">
      <c r="B15" t="s">
        <v>28</v>
      </c>
      <c r="C15">
        <f>A1_DDM_Walmart!D28</f>
        <v>30.359876306600118</v>
      </c>
      <c r="D15">
        <f>A1_DDM_Walmart!D29</f>
        <v>111.84</v>
      </c>
      <c r="E15">
        <f>E6/$E$11-1</f>
        <v>0.37023528570406938</v>
      </c>
      <c r="F15">
        <f>F6/$F$11-1</f>
        <v>0.22618745237490478</v>
      </c>
      <c r="G15" t="str">
        <f>IF(E15&gt;0,"Premium to peers","Discount to peers")</f>
        <v>Premium to peers</v>
      </c>
    </row>
    <row r="16" spans="2:7" x14ac:dyDescent="0.2">
      <c r="B16" t="s">
        <v>30</v>
      </c>
      <c r="C16">
        <f>A3_DDM_Target!D28</f>
        <v>62.094787581270765</v>
      </c>
      <c r="D16">
        <f>A3_DDM_Target!D29</f>
        <v>130.56</v>
      </c>
      <c r="E16">
        <f>E7/$E$11-1</f>
        <v>-0.38317957519845525</v>
      </c>
      <c r="F16">
        <f>F7/$F$11-1</f>
        <v>-0.41071882143764293</v>
      </c>
      <c r="G16" t="str">
        <f>IF(E16&gt;0,"Premium to peers","Discount to peers")</f>
        <v>Discount to peers</v>
      </c>
    </row>
    <row r="17" spans="2:7" x14ac:dyDescent="0.2">
      <c r="B17" t="s">
        <v>32</v>
      </c>
      <c r="C17">
        <f>A2_DDM_Costco!D28</f>
        <v>243.20666788722269</v>
      </c>
      <c r="D17">
        <f>A2_DDM_Costco!D29</f>
        <v>935.47</v>
      </c>
      <c r="E17">
        <f>E8/$E$11-1</f>
        <v>0.68275763427018554</v>
      </c>
      <c r="F17">
        <f>F8/$F$11-1</f>
        <v>0.91135382270764564</v>
      </c>
      <c r="G17" t="str">
        <f>IF(E17&gt;0,"Premium to peers","Discount to peers")</f>
        <v>Premium to peers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I68"/>
  <sheetViews>
    <sheetView showGridLines="0" zoomScaleNormal="100" workbookViewId="0">
      <selection activeCell="L23" sqref="L23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7" width="16" customWidth="1"/>
    <col min="9" max="9" width="15" customWidth="1"/>
  </cols>
  <sheetData>
    <row r="4" spans="2:9" x14ac:dyDescent="0.2">
      <c r="B4" t="s">
        <v>45</v>
      </c>
    </row>
    <row r="5" spans="2:9" x14ac:dyDescent="0.2"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</row>
    <row r="6" spans="2:9" x14ac:dyDescent="0.2">
      <c r="B6" t="s">
        <v>54</v>
      </c>
      <c r="C6">
        <v>100</v>
      </c>
      <c r="D6">
        <v>0.15</v>
      </c>
      <c r="E6">
        <f>C6*D6</f>
        <v>15</v>
      </c>
      <c r="F6">
        <v>5</v>
      </c>
      <c r="G6">
        <v>0.1</v>
      </c>
      <c r="H6">
        <v>118.95</v>
      </c>
      <c r="I6">
        <f>E6*(1-(1+G6)^-F6)/G6+C6*(1+G6)^-F6</f>
        <v>118.95393384704224</v>
      </c>
    </row>
    <row r="7" spans="2:9" x14ac:dyDescent="0.2">
      <c r="B7" t="s">
        <v>55</v>
      </c>
      <c r="C7">
        <v>100</v>
      </c>
      <c r="D7">
        <v>0.15</v>
      </c>
      <c r="E7">
        <f>C7*D7</f>
        <v>15</v>
      </c>
      <c r="F7">
        <v>10</v>
      </c>
      <c r="G7">
        <f>G6</f>
        <v>0.1</v>
      </c>
      <c r="H7">
        <v>130.72</v>
      </c>
      <c r="I7">
        <f>E7*(1-(1+G7)^-F7)/G7+C7*(1+G7)^-F7</f>
        <v>130.72283552852343</v>
      </c>
    </row>
    <row r="9" spans="2:9" x14ac:dyDescent="0.2">
      <c r="B9" t="s">
        <v>56</v>
      </c>
    </row>
    <row r="10" spans="2:9" x14ac:dyDescent="0.2">
      <c r="B10" t="s">
        <v>57</v>
      </c>
    </row>
    <row r="11" spans="2:9" x14ac:dyDescent="0.2"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</row>
    <row r="12" spans="2:9" x14ac:dyDescent="0.2">
      <c r="B12">
        <v>1</v>
      </c>
      <c r="C12">
        <f>15</f>
        <v>15</v>
      </c>
      <c r="D12">
        <f>1/(1+0.1)^1</f>
        <v>0.90909090909090906</v>
      </c>
      <c r="E12">
        <f>C12*D12</f>
        <v>13.636363636363637</v>
      </c>
      <c r="F12">
        <f>1*E12</f>
        <v>13.636363636363637</v>
      </c>
      <c r="G12">
        <f>1*(1+1)*E12</f>
        <v>27.272727272727273</v>
      </c>
    </row>
    <row r="13" spans="2:9" x14ac:dyDescent="0.2">
      <c r="B13">
        <v>2</v>
      </c>
      <c r="C13">
        <f>15</f>
        <v>15</v>
      </c>
      <c r="D13">
        <f>1/(1+0.1)^2</f>
        <v>0.82644628099173545</v>
      </c>
      <c r="E13">
        <f>C13*D13</f>
        <v>12.396694214876032</v>
      </c>
      <c r="F13">
        <f>2*E13</f>
        <v>24.793388429752063</v>
      </c>
      <c r="G13">
        <f>2*(2+1)*E13</f>
        <v>74.380165289256183</v>
      </c>
    </row>
    <row r="14" spans="2:9" x14ac:dyDescent="0.2">
      <c r="B14">
        <v>3</v>
      </c>
      <c r="C14">
        <f>15</f>
        <v>15</v>
      </c>
      <c r="D14">
        <f>1/(1+0.1)^3</f>
        <v>0.75131480090157754</v>
      </c>
      <c r="E14">
        <f>C14*D14</f>
        <v>11.269722013523664</v>
      </c>
      <c r="F14">
        <f>3*E14</f>
        <v>33.809166040570993</v>
      </c>
      <c r="G14">
        <f>3*(3+1)*E14</f>
        <v>135.23666416228397</v>
      </c>
    </row>
    <row r="15" spans="2:9" x14ac:dyDescent="0.2">
      <c r="B15">
        <v>4</v>
      </c>
      <c r="C15">
        <f>15</f>
        <v>15</v>
      </c>
      <c r="D15">
        <f>1/(1+0.1)^4</f>
        <v>0.68301345536507052</v>
      </c>
      <c r="E15">
        <f>C15*D15</f>
        <v>10.245201830476057</v>
      </c>
      <c r="F15">
        <f>4*E15</f>
        <v>40.98080732190423</v>
      </c>
      <c r="G15">
        <f>4*(4+1)*E15</f>
        <v>204.90403660952114</v>
      </c>
    </row>
    <row r="16" spans="2:9" x14ac:dyDescent="0.2">
      <c r="B16">
        <v>5</v>
      </c>
      <c r="C16">
        <f>15+100</f>
        <v>115</v>
      </c>
      <c r="D16">
        <f>1/(1+0.1)^5</f>
        <v>0.62092132305915493</v>
      </c>
      <c r="E16">
        <f>C16*D16</f>
        <v>71.405952151802822</v>
      </c>
      <c r="F16">
        <f>5*E16</f>
        <v>357.0297607590141</v>
      </c>
      <c r="G16">
        <f>5*(5+1)*E16</f>
        <v>2142.1785645540845</v>
      </c>
    </row>
    <row r="17" spans="2:7" x14ac:dyDescent="0.2">
      <c r="B17" t="s">
        <v>64</v>
      </c>
      <c r="E17">
        <f>SUM(E12:E16)</f>
        <v>118.95393384704221</v>
      </c>
    </row>
    <row r="18" spans="2:7" x14ac:dyDescent="0.2">
      <c r="B18" t="s">
        <v>65</v>
      </c>
      <c r="F18">
        <f>SUM(F12:F16)</f>
        <v>470.24948618760504</v>
      </c>
    </row>
    <row r="19" spans="2:7" x14ac:dyDescent="0.2">
      <c r="B19" t="s">
        <v>66</v>
      </c>
      <c r="G19">
        <f>SUM(G12:G16)</f>
        <v>2583.972157887873</v>
      </c>
    </row>
    <row r="21" spans="2:7" x14ac:dyDescent="0.2">
      <c r="B21" t="s">
        <v>67</v>
      </c>
      <c r="D21">
        <f>F18/E17</f>
        <v>3.9532066824480037</v>
      </c>
    </row>
    <row r="22" spans="2:7" x14ac:dyDescent="0.2">
      <c r="B22" t="s">
        <v>68</v>
      </c>
      <c r="D22">
        <f>D21/(1+0.1)</f>
        <v>3.5938242567709122</v>
      </c>
    </row>
    <row r="23" spans="2:7" x14ac:dyDescent="0.2">
      <c r="B23" t="s">
        <v>69</v>
      </c>
      <c r="D23">
        <f>G19/(E17*(1+0.1)^2)</f>
        <v>17.952446892749162</v>
      </c>
    </row>
    <row r="26" spans="2:7" x14ac:dyDescent="0.2">
      <c r="B26" t="s">
        <v>70</v>
      </c>
    </row>
    <row r="27" spans="2:7" x14ac:dyDescent="0.2">
      <c r="B27" t="s">
        <v>58</v>
      </c>
      <c r="C27" t="s">
        <v>59</v>
      </c>
      <c r="D27" t="s">
        <v>60</v>
      </c>
      <c r="E27" t="s">
        <v>61</v>
      </c>
      <c r="F27" t="s">
        <v>62</v>
      </c>
      <c r="G27" t="s">
        <v>63</v>
      </c>
    </row>
    <row r="28" spans="2:7" x14ac:dyDescent="0.2">
      <c r="B28">
        <v>1</v>
      </c>
      <c r="C28">
        <f>15</f>
        <v>15</v>
      </c>
      <c r="D28">
        <f>1/(1+0.1)^1</f>
        <v>0.90909090909090906</v>
      </c>
      <c r="E28">
        <f t="shared" ref="E28:E37" si="0">C28*D28</f>
        <v>13.636363636363637</v>
      </c>
      <c r="F28">
        <f>1*E28</f>
        <v>13.636363636363637</v>
      </c>
      <c r="G28">
        <f>1*(1+1)*E28</f>
        <v>27.272727272727273</v>
      </c>
    </row>
    <row r="29" spans="2:7" x14ac:dyDescent="0.2">
      <c r="B29">
        <v>2</v>
      </c>
      <c r="C29">
        <f>15</f>
        <v>15</v>
      </c>
      <c r="D29">
        <f>1/(1+0.1)^2</f>
        <v>0.82644628099173545</v>
      </c>
      <c r="E29">
        <f t="shared" si="0"/>
        <v>12.396694214876032</v>
      </c>
      <c r="F29">
        <f>2*E29</f>
        <v>24.793388429752063</v>
      </c>
      <c r="G29">
        <f>2*(2+1)*E29</f>
        <v>74.380165289256183</v>
      </c>
    </row>
    <row r="30" spans="2:7" x14ac:dyDescent="0.2">
      <c r="B30">
        <v>3</v>
      </c>
      <c r="C30">
        <f>15</f>
        <v>15</v>
      </c>
      <c r="D30">
        <f>1/(1+0.1)^3</f>
        <v>0.75131480090157754</v>
      </c>
      <c r="E30">
        <f t="shared" si="0"/>
        <v>11.269722013523664</v>
      </c>
      <c r="F30">
        <f>3*E30</f>
        <v>33.809166040570993</v>
      </c>
      <c r="G30">
        <f>3*(3+1)*E30</f>
        <v>135.23666416228397</v>
      </c>
    </row>
    <row r="31" spans="2:7" x14ac:dyDescent="0.2">
      <c r="B31">
        <v>4</v>
      </c>
      <c r="C31">
        <f>15</f>
        <v>15</v>
      </c>
      <c r="D31">
        <f>1/(1+0.1)^4</f>
        <v>0.68301345536507052</v>
      </c>
      <c r="E31">
        <f t="shared" si="0"/>
        <v>10.245201830476057</v>
      </c>
      <c r="F31">
        <f>4*E31</f>
        <v>40.98080732190423</v>
      </c>
      <c r="G31">
        <f>4*(4+1)*E31</f>
        <v>204.90403660952114</v>
      </c>
    </row>
    <row r="32" spans="2:7" x14ac:dyDescent="0.2">
      <c r="B32">
        <v>5</v>
      </c>
      <c r="C32">
        <f>15</f>
        <v>15</v>
      </c>
      <c r="D32">
        <f>1/(1+0.1)^5</f>
        <v>0.62092132305915493</v>
      </c>
      <c r="E32">
        <f t="shared" si="0"/>
        <v>9.3138198458873234</v>
      </c>
      <c r="F32">
        <f>5*E32</f>
        <v>46.569099229436617</v>
      </c>
      <c r="G32">
        <f>5*(5+1)*E32</f>
        <v>279.41459537661967</v>
      </c>
    </row>
    <row r="33" spans="2:7" x14ac:dyDescent="0.2">
      <c r="B33">
        <v>6</v>
      </c>
      <c r="C33">
        <f>15</f>
        <v>15</v>
      </c>
      <c r="D33">
        <f>1/(1+0.1)^6</f>
        <v>0.56447393005377722</v>
      </c>
      <c r="E33">
        <f t="shared" si="0"/>
        <v>8.4671089508066579</v>
      </c>
      <c r="F33">
        <f>6*E33</f>
        <v>50.802653704839948</v>
      </c>
      <c r="G33">
        <f>6*(6+1)*E33</f>
        <v>355.61857593387964</v>
      </c>
    </row>
    <row r="34" spans="2:7" x14ac:dyDescent="0.2">
      <c r="B34">
        <v>7</v>
      </c>
      <c r="C34">
        <f>15</f>
        <v>15</v>
      </c>
      <c r="D34">
        <f>1/(1+0.1)^7</f>
        <v>0.51315811823070645</v>
      </c>
      <c r="E34">
        <f t="shared" si="0"/>
        <v>7.6973717734605964</v>
      </c>
      <c r="F34">
        <f>7*E34</f>
        <v>53.881602414224176</v>
      </c>
      <c r="G34">
        <f>7*(7+1)*E34</f>
        <v>431.05281931379341</v>
      </c>
    </row>
    <row r="35" spans="2:7" x14ac:dyDescent="0.2">
      <c r="B35">
        <v>8</v>
      </c>
      <c r="C35">
        <f>15</f>
        <v>15</v>
      </c>
      <c r="D35">
        <f>1/(1+0.1)^8</f>
        <v>0.46650738020973315</v>
      </c>
      <c r="E35">
        <f t="shared" si="0"/>
        <v>6.9976107031459973</v>
      </c>
      <c r="F35">
        <f>8*E35</f>
        <v>55.980885625167979</v>
      </c>
      <c r="G35">
        <f>8*(8+1)*E35</f>
        <v>503.82797062651179</v>
      </c>
    </row>
    <row r="36" spans="2:7" x14ac:dyDescent="0.2">
      <c r="B36">
        <v>9</v>
      </c>
      <c r="C36">
        <f>15</f>
        <v>15</v>
      </c>
      <c r="D36">
        <f>1/(1+0.1)^9</f>
        <v>0.42409761837248466</v>
      </c>
      <c r="E36">
        <f t="shared" si="0"/>
        <v>6.3614642755872701</v>
      </c>
      <c r="F36">
        <f>9*E36</f>
        <v>57.253178480285428</v>
      </c>
      <c r="G36">
        <f>9*(9+1)*E36</f>
        <v>572.5317848028543</v>
      </c>
    </row>
    <row r="37" spans="2:7" x14ac:dyDescent="0.2">
      <c r="B37">
        <v>10</v>
      </c>
      <c r="C37">
        <f>15+100</f>
        <v>115</v>
      </c>
      <c r="D37">
        <f>1/(1+0.1)^10</f>
        <v>0.38554328942953148</v>
      </c>
      <c r="E37">
        <f t="shared" si="0"/>
        <v>44.33747828439612</v>
      </c>
      <c r="F37">
        <f>10*E37</f>
        <v>443.37478284396121</v>
      </c>
      <c r="G37">
        <f>10*(10+1)*E37</f>
        <v>4877.122611283573</v>
      </c>
    </row>
    <row r="38" spans="2:7" x14ac:dyDescent="0.2">
      <c r="B38" t="s">
        <v>64</v>
      </c>
      <c r="E38">
        <f>SUM(E28:E37)</f>
        <v>130.72283552852335</v>
      </c>
    </row>
    <row r="39" spans="2:7" x14ac:dyDescent="0.2">
      <c r="B39" t="s">
        <v>65</v>
      </c>
      <c r="F39">
        <f>SUM(F28:F37)</f>
        <v>821.08192772650625</v>
      </c>
    </row>
    <row r="40" spans="2:7" x14ac:dyDescent="0.2">
      <c r="B40" t="s">
        <v>66</v>
      </c>
      <c r="G40">
        <f>SUM(G28:G37)</f>
        <v>7461.3619506710202</v>
      </c>
    </row>
    <row r="42" spans="2:7" x14ac:dyDescent="0.2">
      <c r="B42" t="s">
        <v>67</v>
      </c>
      <c r="D42">
        <f>F39/E38</f>
        <v>6.2810902502749686</v>
      </c>
    </row>
    <row r="43" spans="2:7" x14ac:dyDescent="0.2">
      <c r="B43" t="s">
        <v>68</v>
      </c>
      <c r="D43">
        <f>D42/(1+0.1)</f>
        <v>5.7100820457045165</v>
      </c>
    </row>
    <row r="44" spans="2:7" x14ac:dyDescent="0.2">
      <c r="B44" t="s">
        <v>69</v>
      </c>
      <c r="D44">
        <f>G40/(E38*(1+0.1)^2)</f>
        <v>47.171672878223411</v>
      </c>
    </row>
    <row r="46" spans="2:7" x14ac:dyDescent="0.2">
      <c r="B46" t="s">
        <v>71</v>
      </c>
    </row>
    <row r="47" spans="2:7" x14ac:dyDescent="0.2">
      <c r="B47" t="s">
        <v>46</v>
      </c>
      <c r="C47" t="s">
        <v>72</v>
      </c>
      <c r="D47" t="s">
        <v>73</v>
      </c>
      <c r="E47" t="s">
        <v>74</v>
      </c>
    </row>
    <row r="48" spans="2:7" x14ac:dyDescent="0.2">
      <c r="B48" t="s">
        <v>75</v>
      </c>
      <c r="C48">
        <f>D21</f>
        <v>3.9532066824480037</v>
      </c>
      <c r="D48">
        <f>D22</f>
        <v>3.5938242567709122</v>
      </c>
      <c r="E48">
        <f>D23</f>
        <v>17.952446892749162</v>
      </c>
    </row>
    <row r="49" spans="2:5" x14ac:dyDescent="0.2">
      <c r="B49" t="s">
        <v>76</v>
      </c>
      <c r="C49">
        <f>D42</f>
        <v>6.2810902502749686</v>
      </c>
      <c r="D49">
        <f>D43</f>
        <v>5.7100820457045165</v>
      </c>
      <c r="E49">
        <f>D44</f>
        <v>47.171672878223411</v>
      </c>
    </row>
    <row r="51" spans="2:5" x14ac:dyDescent="0.2">
      <c r="B51" t="s">
        <v>77</v>
      </c>
    </row>
    <row r="52" spans="2:5" x14ac:dyDescent="0.2">
      <c r="B52" t="s">
        <v>78</v>
      </c>
      <c r="D52">
        <v>1000000</v>
      </c>
    </row>
    <row r="53" spans="2:5" x14ac:dyDescent="0.2">
      <c r="B53" t="s">
        <v>79</v>
      </c>
      <c r="D53">
        <f>C12*(1.1)^4+C13*(1.1)^3+C14*(1.1)^2+C15*(1.1)^1+C16</f>
        <v>191.57650000000001</v>
      </c>
    </row>
    <row r="54" spans="2:5" x14ac:dyDescent="0.2">
      <c r="B54" t="s">
        <v>80</v>
      </c>
      <c r="D54">
        <f>D52/D53</f>
        <v>5219.846901890367</v>
      </c>
    </row>
    <row r="55" spans="2:5" x14ac:dyDescent="0.2">
      <c r="B55" t="s">
        <v>81</v>
      </c>
      <c r="D55">
        <f>D54*H6</f>
        <v>620900.78897985921</v>
      </c>
    </row>
    <row r="57" spans="2:5" x14ac:dyDescent="0.2">
      <c r="B57" t="s">
        <v>82</v>
      </c>
    </row>
    <row r="58" spans="2:5" x14ac:dyDescent="0.2">
      <c r="B58" t="s">
        <v>83</v>
      </c>
      <c r="C58" t="s">
        <v>84</v>
      </c>
      <c r="D58" t="s">
        <v>85</v>
      </c>
      <c r="E58" t="s">
        <v>86</v>
      </c>
    </row>
    <row r="59" spans="2:5" x14ac:dyDescent="0.2">
      <c r="B59">
        <v>0.09</v>
      </c>
      <c r="C59">
        <f>15*(1+B59)^4+15*(1+B59)^3+15*(1+B59)^2+15*(1+B59)^1+115</f>
        <v>189.77065915</v>
      </c>
      <c r="D59">
        <f>$D$54*C59</f>
        <v>990573.7872338203</v>
      </c>
      <c r="E59">
        <f>$D$52-D59</f>
        <v>9426.2127661796985</v>
      </c>
    </row>
    <row r="60" spans="2:5" x14ac:dyDescent="0.2">
      <c r="B60">
        <v>0.1</v>
      </c>
      <c r="C60">
        <f>15*(1+B60)^4+15*(1+B60)^3+15*(1+B60)^2+15*(1+B60)^1+115</f>
        <v>191.57650000000001</v>
      </c>
      <c r="D60">
        <f>$D$54*C60</f>
        <v>1000000</v>
      </c>
      <c r="E60">
        <f>$D$52-D60</f>
        <v>0</v>
      </c>
    </row>
    <row r="61" spans="2:5" x14ac:dyDescent="0.2">
      <c r="B61">
        <v>0.11</v>
      </c>
      <c r="C61">
        <f>15*(1+B61)^4+15*(1+B61)^3+15*(1+B61)^2+15*(1+B61)^1+115</f>
        <v>193.41702115000001</v>
      </c>
      <c r="D61">
        <f>$D$54*C61</f>
        <v>1009607.2386226911</v>
      </c>
      <c r="E61">
        <f>$D$52-D61</f>
        <v>-9607.2386226911331</v>
      </c>
    </row>
    <row r="63" spans="2:5" x14ac:dyDescent="0.2">
      <c r="B63" t="s">
        <v>87</v>
      </c>
    </row>
    <row r="64" spans="2:5" x14ac:dyDescent="0.2">
      <c r="B64" t="s">
        <v>46</v>
      </c>
      <c r="C64" t="s">
        <v>88</v>
      </c>
      <c r="D64" t="s">
        <v>89</v>
      </c>
      <c r="E64" t="s">
        <v>90</v>
      </c>
    </row>
    <row r="65" spans="2:5" x14ac:dyDescent="0.2">
      <c r="B65" t="s">
        <v>54</v>
      </c>
      <c r="C65">
        <v>-0.01</v>
      </c>
      <c r="D65">
        <f>-(D22*C65)+0.5*D23*C65^2</f>
        <v>3.6835864912346583E-2</v>
      </c>
      <c r="E65">
        <f>H6*(1+D65)</f>
        <v>123.33162613132363</v>
      </c>
    </row>
    <row r="66" spans="2:5" x14ac:dyDescent="0.2">
      <c r="B66" t="s">
        <v>54</v>
      </c>
      <c r="C66">
        <v>0.01</v>
      </c>
      <c r="D66">
        <f>-(D22*C66)+0.5*D23*C66^2</f>
        <v>-3.5040620223071667E-2</v>
      </c>
      <c r="E66">
        <f>H6*(1+D66)</f>
        <v>114.78191822446563</v>
      </c>
    </row>
    <row r="67" spans="2:5" x14ac:dyDescent="0.2">
      <c r="B67" t="s">
        <v>55</v>
      </c>
      <c r="C67">
        <v>-0.01</v>
      </c>
      <c r="D67">
        <f>-(D43*C67)+0.5*D44*C67^2</f>
        <v>5.9459404100956341E-2</v>
      </c>
      <c r="E67">
        <f>H7*(1+D67)</f>
        <v>138.49253330407703</v>
      </c>
    </row>
    <row r="68" spans="2:5" x14ac:dyDescent="0.2">
      <c r="B68" t="s">
        <v>55</v>
      </c>
      <c r="C68">
        <v>0.01</v>
      </c>
      <c r="D68">
        <f>-(D43*C68)+0.5*D44*C68^2</f>
        <v>-5.4742236813133997E-2</v>
      </c>
      <c r="E68">
        <f>H7*(1+D68)</f>
        <v>123.56409480378713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5:F54"/>
  <sheetViews>
    <sheetView showGridLines="0" zoomScaleNormal="100" workbookViewId="0">
      <selection activeCell="J13" sqref="J13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6" width="16" customWidth="1"/>
  </cols>
  <sheetData>
    <row r="5" spans="2:4" x14ac:dyDescent="0.2">
      <c r="B5" t="s">
        <v>91</v>
      </c>
    </row>
    <row r="6" spans="2:4" x14ac:dyDescent="0.2">
      <c r="B6" t="s">
        <v>92</v>
      </c>
      <c r="D6">
        <v>326.54000000000002</v>
      </c>
    </row>
    <row r="7" spans="2:4" x14ac:dyDescent="0.2">
      <c r="B7" t="s">
        <v>93</v>
      </c>
      <c r="D7">
        <v>327</v>
      </c>
    </row>
    <row r="8" spans="2:4" x14ac:dyDescent="0.2">
      <c r="B8" t="s">
        <v>94</v>
      </c>
      <c r="D8">
        <v>14</v>
      </c>
    </row>
    <row r="9" spans="2:4" x14ac:dyDescent="0.2">
      <c r="B9" t="s">
        <v>95</v>
      </c>
      <c r="D9">
        <f>D8/365</f>
        <v>3.8356164383561646E-2</v>
      </c>
    </row>
    <row r="10" spans="2:4" x14ac:dyDescent="0.2">
      <c r="B10" t="s">
        <v>96</v>
      </c>
      <c r="D10">
        <v>1E-3</v>
      </c>
    </row>
    <row r="11" spans="2:4" x14ac:dyDescent="0.2">
      <c r="B11" t="s">
        <v>97</v>
      </c>
      <c r="D11">
        <v>0.38</v>
      </c>
    </row>
    <row r="13" spans="2:4" x14ac:dyDescent="0.2">
      <c r="B13" t="s">
        <v>98</v>
      </c>
    </row>
    <row r="14" spans="2:4" x14ac:dyDescent="0.2">
      <c r="B14" t="s">
        <v>99</v>
      </c>
      <c r="D14">
        <f>(LN(D6/D7)+(D10+D11^2/2)*D9)/(D11*SQRT(D9))</f>
        <v>1.8811017339878625E-2</v>
      </c>
    </row>
    <row r="15" spans="2:4" x14ac:dyDescent="0.2">
      <c r="B15" t="s">
        <v>100</v>
      </c>
      <c r="D15">
        <f>D14-D11*SQRT(D9)</f>
        <v>-5.5610956142328236E-2</v>
      </c>
    </row>
    <row r="16" spans="2:4" x14ac:dyDescent="0.2">
      <c r="B16" t="s">
        <v>101</v>
      </c>
      <c r="D16">
        <f>NORMSDIST(D14)</f>
        <v>0.50750406759377631</v>
      </c>
    </row>
    <row r="17" spans="2:4" x14ac:dyDescent="0.2">
      <c r="B17" t="s">
        <v>102</v>
      </c>
      <c r="D17">
        <f>NORMSDIST(D15)</f>
        <v>0.47782586813692596</v>
      </c>
    </row>
    <row r="18" spans="2:4" x14ac:dyDescent="0.2">
      <c r="B18" t="s">
        <v>103</v>
      </c>
      <c r="D18">
        <f>NORMSDIST(-D14)</f>
        <v>0.49249593240622369</v>
      </c>
    </row>
    <row r="19" spans="2:4" x14ac:dyDescent="0.2">
      <c r="B19" t="s">
        <v>104</v>
      </c>
      <c r="D19">
        <f>NORMSDIST(-D15)</f>
        <v>0.52217413186307404</v>
      </c>
    </row>
    <row r="21" spans="2:4" x14ac:dyDescent="0.2">
      <c r="B21" t="s">
        <v>105</v>
      </c>
      <c r="D21">
        <f>D6*D16-D7*EXP(-D10*D9)*D17</f>
        <v>9.4773123509491768</v>
      </c>
    </row>
    <row r="22" spans="2:4" x14ac:dyDescent="0.2">
      <c r="B22" t="s">
        <v>106</v>
      </c>
      <c r="D22">
        <f>D7*EXP(-D10*D9)*D19-D6*D18</f>
        <v>9.9247701257330903</v>
      </c>
    </row>
    <row r="23" spans="2:4" x14ac:dyDescent="0.2">
      <c r="B23" t="s">
        <v>107</v>
      </c>
      <c r="D23">
        <f>D21+D22</f>
        <v>19.402082476682267</v>
      </c>
    </row>
    <row r="25" spans="2:4" x14ac:dyDescent="0.2">
      <c r="B25" t="s">
        <v>108</v>
      </c>
    </row>
    <row r="26" spans="2:4" x14ac:dyDescent="0.2">
      <c r="B26" t="s">
        <v>109</v>
      </c>
      <c r="D26">
        <f>D7-D23</f>
        <v>307.59791752331773</v>
      </c>
    </row>
    <row r="27" spans="2:4" x14ac:dyDescent="0.2">
      <c r="B27" t="s">
        <v>110</v>
      </c>
      <c r="D27">
        <f>D7+D23</f>
        <v>346.40208247668227</v>
      </c>
    </row>
    <row r="29" spans="2:4" x14ac:dyDescent="0.2">
      <c r="B29" t="s">
        <v>111</v>
      </c>
    </row>
    <row r="30" spans="2:4" x14ac:dyDescent="0.2">
      <c r="B30" t="s">
        <v>112</v>
      </c>
      <c r="D30">
        <v>355.33</v>
      </c>
    </row>
    <row r="31" spans="2:4" x14ac:dyDescent="0.2">
      <c r="B31" t="s">
        <v>113</v>
      </c>
      <c r="D31">
        <f>MAX(D30-D7,0)</f>
        <v>28.329999999999984</v>
      </c>
    </row>
    <row r="32" spans="2:4" x14ac:dyDescent="0.2">
      <c r="B32" t="s">
        <v>114</v>
      </c>
      <c r="D32">
        <f>MAX(D7-D30,0)</f>
        <v>0</v>
      </c>
    </row>
    <row r="33" spans="2:6" x14ac:dyDescent="0.2">
      <c r="B33" t="s">
        <v>115</v>
      </c>
      <c r="D33">
        <f>D31+D32</f>
        <v>28.329999999999984</v>
      </c>
    </row>
    <row r="34" spans="2:6" x14ac:dyDescent="0.2">
      <c r="B34" t="s">
        <v>116</v>
      </c>
      <c r="D34">
        <f>D23</f>
        <v>19.402082476682267</v>
      </c>
    </row>
    <row r="35" spans="2:6" x14ac:dyDescent="0.2">
      <c r="B35" t="s">
        <v>117</v>
      </c>
      <c r="D35">
        <f>D33-D34</f>
        <v>8.927917523317717</v>
      </c>
    </row>
    <row r="36" spans="2:6" x14ac:dyDescent="0.2">
      <c r="B36" t="s">
        <v>118</v>
      </c>
      <c r="D36">
        <f>D35/D34</f>
        <v>0.46015253950432544</v>
      </c>
    </row>
    <row r="38" spans="2:6" x14ac:dyDescent="0.2">
      <c r="B38" t="s">
        <v>119</v>
      </c>
    </row>
    <row r="39" spans="2:6" x14ac:dyDescent="0.2">
      <c r="B39" t="s">
        <v>120</v>
      </c>
      <c r="C39" t="s">
        <v>121</v>
      </c>
      <c r="D39" t="s">
        <v>122</v>
      </c>
      <c r="E39" t="s">
        <v>123</v>
      </c>
      <c r="F39" t="s">
        <v>124</v>
      </c>
    </row>
    <row r="40" spans="2:6" x14ac:dyDescent="0.2">
      <c r="B40">
        <v>260</v>
      </c>
      <c r="C40">
        <f t="shared" ref="C40:C54" si="0">MAX(B40-$D$7,0)</f>
        <v>0</v>
      </c>
      <c r="D40">
        <f t="shared" ref="D40:D54" si="1">MAX($D$7-B40,0)</f>
        <v>67</v>
      </c>
      <c r="E40">
        <f t="shared" ref="E40:E54" si="2">C40+D40</f>
        <v>67</v>
      </c>
      <c r="F40">
        <f t="shared" ref="F40:F54" si="3">E40-$D$23</f>
        <v>47.597917523317733</v>
      </c>
    </row>
    <row r="41" spans="2:6" x14ac:dyDescent="0.2">
      <c r="B41">
        <v>270</v>
      </c>
      <c r="C41">
        <f t="shared" si="0"/>
        <v>0</v>
      </c>
      <c r="D41">
        <f t="shared" si="1"/>
        <v>57</v>
      </c>
      <c r="E41">
        <f t="shared" si="2"/>
        <v>57</v>
      </c>
      <c r="F41">
        <f t="shared" si="3"/>
        <v>37.597917523317733</v>
      </c>
    </row>
    <row r="42" spans="2:6" x14ac:dyDescent="0.2">
      <c r="B42">
        <v>280</v>
      </c>
      <c r="C42">
        <f t="shared" si="0"/>
        <v>0</v>
      </c>
      <c r="D42">
        <f t="shared" si="1"/>
        <v>47</v>
      </c>
      <c r="E42">
        <f t="shared" si="2"/>
        <v>47</v>
      </c>
      <c r="F42">
        <f t="shared" si="3"/>
        <v>27.597917523317733</v>
      </c>
    </row>
    <row r="43" spans="2:6" x14ac:dyDescent="0.2">
      <c r="B43">
        <v>290</v>
      </c>
      <c r="C43">
        <f t="shared" si="0"/>
        <v>0</v>
      </c>
      <c r="D43">
        <f t="shared" si="1"/>
        <v>37</v>
      </c>
      <c r="E43">
        <f t="shared" si="2"/>
        <v>37</v>
      </c>
      <c r="F43">
        <f t="shared" si="3"/>
        <v>17.597917523317733</v>
      </c>
    </row>
    <row r="44" spans="2:6" x14ac:dyDescent="0.2">
      <c r="B44">
        <v>300</v>
      </c>
      <c r="C44">
        <f t="shared" si="0"/>
        <v>0</v>
      </c>
      <c r="D44">
        <f t="shared" si="1"/>
        <v>27</v>
      </c>
      <c r="E44">
        <f t="shared" si="2"/>
        <v>27</v>
      </c>
      <c r="F44">
        <f t="shared" si="3"/>
        <v>7.597917523317733</v>
      </c>
    </row>
    <row r="45" spans="2:6" x14ac:dyDescent="0.2">
      <c r="B45">
        <v>310</v>
      </c>
      <c r="C45">
        <f t="shared" si="0"/>
        <v>0</v>
      </c>
      <c r="D45">
        <f t="shared" si="1"/>
        <v>17</v>
      </c>
      <c r="E45">
        <f t="shared" si="2"/>
        <v>17</v>
      </c>
      <c r="F45">
        <f t="shared" si="3"/>
        <v>-2.402082476682267</v>
      </c>
    </row>
    <row r="46" spans="2:6" x14ac:dyDescent="0.2">
      <c r="B46">
        <v>320</v>
      </c>
      <c r="C46">
        <f t="shared" si="0"/>
        <v>0</v>
      </c>
      <c r="D46">
        <f t="shared" si="1"/>
        <v>7</v>
      </c>
      <c r="E46">
        <f t="shared" si="2"/>
        <v>7</v>
      </c>
      <c r="F46">
        <f t="shared" si="3"/>
        <v>-12.402082476682267</v>
      </c>
    </row>
    <row r="47" spans="2:6" x14ac:dyDescent="0.2">
      <c r="B47">
        <v>330</v>
      </c>
      <c r="C47">
        <f t="shared" si="0"/>
        <v>3</v>
      </c>
      <c r="D47">
        <f t="shared" si="1"/>
        <v>0</v>
      </c>
      <c r="E47">
        <f t="shared" si="2"/>
        <v>3</v>
      </c>
      <c r="F47">
        <f t="shared" si="3"/>
        <v>-16.402082476682267</v>
      </c>
    </row>
    <row r="48" spans="2:6" x14ac:dyDescent="0.2">
      <c r="B48">
        <v>340</v>
      </c>
      <c r="C48">
        <f t="shared" si="0"/>
        <v>13</v>
      </c>
      <c r="D48">
        <f t="shared" si="1"/>
        <v>0</v>
      </c>
      <c r="E48">
        <f t="shared" si="2"/>
        <v>13</v>
      </c>
      <c r="F48">
        <f t="shared" si="3"/>
        <v>-6.402082476682267</v>
      </c>
    </row>
    <row r="49" spans="2:6" x14ac:dyDescent="0.2">
      <c r="B49">
        <v>350</v>
      </c>
      <c r="C49">
        <f t="shared" si="0"/>
        <v>23</v>
      </c>
      <c r="D49">
        <f t="shared" si="1"/>
        <v>0</v>
      </c>
      <c r="E49">
        <f t="shared" si="2"/>
        <v>23</v>
      </c>
      <c r="F49">
        <f t="shared" si="3"/>
        <v>3.597917523317733</v>
      </c>
    </row>
    <row r="50" spans="2:6" x14ac:dyDescent="0.2">
      <c r="B50">
        <v>360</v>
      </c>
      <c r="C50">
        <f t="shared" si="0"/>
        <v>33</v>
      </c>
      <c r="D50">
        <f t="shared" si="1"/>
        <v>0</v>
      </c>
      <c r="E50">
        <f t="shared" si="2"/>
        <v>33</v>
      </c>
      <c r="F50">
        <f t="shared" si="3"/>
        <v>13.597917523317733</v>
      </c>
    </row>
    <row r="51" spans="2:6" x14ac:dyDescent="0.2">
      <c r="B51">
        <v>370</v>
      </c>
      <c r="C51">
        <f t="shared" si="0"/>
        <v>43</v>
      </c>
      <c r="D51">
        <f t="shared" si="1"/>
        <v>0</v>
      </c>
      <c r="E51">
        <f t="shared" si="2"/>
        <v>43</v>
      </c>
      <c r="F51">
        <f t="shared" si="3"/>
        <v>23.597917523317733</v>
      </c>
    </row>
    <row r="52" spans="2:6" x14ac:dyDescent="0.2">
      <c r="B52">
        <v>380</v>
      </c>
      <c r="C52">
        <f t="shared" si="0"/>
        <v>53</v>
      </c>
      <c r="D52">
        <f t="shared" si="1"/>
        <v>0</v>
      </c>
      <c r="E52">
        <f t="shared" si="2"/>
        <v>53</v>
      </c>
      <c r="F52">
        <f t="shared" si="3"/>
        <v>33.597917523317733</v>
      </c>
    </row>
    <row r="53" spans="2:6" x14ac:dyDescent="0.2">
      <c r="B53">
        <v>390</v>
      </c>
      <c r="C53">
        <f t="shared" si="0"/>
        <v>63</v>
      </c>
      <c r="D53">
        <f t="shared" si="1"/>
        <v>0</v>
      </c>
      <c r="E53">
        <f t="shared" si="2"/>
        <v>63</v>
      </c>
      <c r="F53">
        <f t="shared" si="3"/>
        <v>43.597917523317733</v>
      </c>
    </row>
    <row r="54" spans="2:6" x14ac:dyDescent="0.2">
      <c r="B54">
        <v>400</v>
      </c>
      <c r="C54">
        <f t="shared" si="0"/>
        <v>73</v>
      </c>
      <c r="D54">
        <f t="shared" si="1"/>
        <v>0</v>
      </c>
      <c r="E54">
        <f t="shared" si="2"/>
        <v>73</v>
      </c>
      <c r="F54">
        <f t="shared" si="3"/>
        <v>53.597917523317733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A1_DDM_Walmart</vt:lpstr>
      <vt:lpstr>A2_DDM_Costco</vt:lpstr>
      <vt:lpstr>A3_DDM_Target</vt:lpstr>
      <vt:lpstr>A4_Relative_Valuation</vt:lpstr>
      <vt:lpstr>B_Bond_Analysis</vt:lpstr>
      <vt:lpstr>D_BSM_Straddle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mac</cp:lastModifiedBy>
  <cp:revision>1</cp:revision>
  <dcterms:created xsi:type="dcterms:W3CDTF">2026-07-03T10:10:47Z</dcterms:created>
  <dcterms:modified xsi:type="dcterms:W3CDTF">2026-07-03T10:15:14Z</dcterms:modified>
  <dc:language>en-US</dc:language>
</cp:coreProperties>
</file>